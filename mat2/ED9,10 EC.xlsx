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ii\OneDrive\Área de Trabalho\Trabalhos\mat2\"/>
    </mc:Choice>
  </mc:AlternateContent>
  <xr:revisionPtr revIDLastSave="0" documentId="8_{0AF99F77-BF82-4519-B989-E06A4DE42B5D}" xr6:coauthVersionLast="45" xr6:coauthVersionMax="45" xr10:uidLastSave="{00000000-0000-0000-0000-000000000000}"/>
  <bookViews>
    <workbookView xWindow="-120" yWindow="-120" windowWidth="24240" windowHeight="13140" activeTab="6" xr2:uid="{6E5E625D-9C45-4592-BFF8-2C3C2947DBF3}"/>
  </bookViews>
  <sheets>
    <sheet name="Estudo dirigido 9" sheetId="1" r:id="rId1"/>
    <sheet name="ED10-1" sheetId="2" r:id="rId2"/>
    <sheet name="ED10-2" sheetId="3" r:id="rId3"/>
    <sheet name="EC-1" sheetId="10" r:id="rId4"/>
    <sheet name="EC-2" sheetId="11" r:id="rId5"/>
    <sheet name="EC-3" sheetId="12" r:id="rId6"/>
    <sheet name="EC-4" sheetId="13" r:id="rId7"/>
    <sheet name="EC-5" sheetId="14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4" l="1"/>
  <c r="B7" i="14"/>
  <c r="B6" i="14"/>
  <c r="B5" i="14"/>
  <c r="C14" i="13"/>
  <c r="C13" i="13"/>
  <c r="C12" i="13"/>
  <c r="C11" i="13"/>
  <c r="B14" i="13"/>
  <c r="B13" i="13"/>
  <c r="B12" i="13"/>
  <c r="B11" i="13"/>
  <c r="H4" i="12"/>
  <c r="H2" i="12"/>
  <c r="G4" i="12"/>
  <c r="G2" i="12"/>
  <c r="D6" i="11"/>
  <c r="C6" i="11"/>
  <c r="B6" i="11"/>
  <c r="A6" i="11"/>
  <c r="B13" i="10"/>
  <c r="B12" i="10"/>
  <c r="B11" i="10"/>
  <c r="B10" i="10"/>
  <c r="E9" i="10"/>
  <c r="E8" i="10"/>
  <c r="E7" i="10"/>
  <c r="D9" i="10"/>
  <c r="D8" i="10"/>
  <c r="D7" i="10"/>
  <c r="C8" i="10"/>
  <c r="C9" i="10"/>
  <c r="C7" i="10"/>
  <c r="B9" i="10"/>
  <c r="B8" i="10"/>
  <c r="B7" i="10"/>
  <c r="G4" i="3"/>
  <c r="G5" i="3"/>
  <c r="G6" i="3"/>
  <c r="G7" i="3"/>
  <c r="G8" i="3"/>
  <c r="G9" i="3"/>
  <c r="G3" i="3"/>
  <c r="F4" i="3"/>
  <c r="F7" i="3"/>
  <c r="F8" i="3"/>
  <c r="E4" i="3"/>
  <c r="E5" i="3"/>
  <c r="F5" i="3" s="1"/>
  <c r="E6" i="3"/>
  <c r="F6" i="3" s="1"/>
  <c r="E7" i="3"/>
  <c r="E8" i="3"/>
  <c r="E9" i="3"/>
  <c r="F9" i="3" s="1"/>
  <c r="E3" i="3"/>
  <c r="F3" i="3" s="1"/>
  <c r="F11" i="2"/>
  <c r="G11" i="2"/>
  <c r="H11" i="2"/>
  <c r="E11" i="2"/>
  <c r="F10" i="2"/>
  <c r="G10" i="2"/>
  <c r="H10" i="2"/>
  <c r="E10" i="2"/>
  <c r="F9" i="2"/>
  <c r="G9" i="2"/>
  <c r="H9" i="2"/>
  <c r="E9" i="2"/>
  <c r="F8" i="2"/>
  <c r="G8" i="2"/>
  <c r="H8" i="2"/>
  <c r="E8" i="2"/>
  <c r="F7" i="2"/>
  <c r="G7" i="2"/>
  <c r="H7" i="2"/>
  <c r="E7" i="2"/>
  <c r="H6" i="2"/>
  <c r="H5" i="2"/>
  <c r="H4" i="2"/>
  <c r="H3" i="2"/>
  <c r="H2" i="2"/>
  <c r="F3" i="2"/>
  <c r="F4" i="2"/>
  <c r="F5" i="2"/>
  <c r="F6" i="2"/>
  <c r="F2" i="2"/>
  <c r="G6" i="2"/>
  <c r="G5" i="2"/>
  <c r="G4" i="2"/>
  <c r="G3" i="2"/>
  <c r="G2" i="2"/>
  <c r="E6" i="2"/>
  <c r="E4" i="2"/>
  <c r="E5" i="2"/>
  <c r="E3" i="2"/>
  <c r="E2" i="2"/>
  <c r="C19" i="1" l="1"/>
  <c r="D19" i="1"/>
  <c r="E19" i="1"/>
  <c r="F19" i="1"/>
  <c r="B19" i="1"/>
  <c r="K4" i="1"/>
  <c r="K5" i="1"/>
  <c r="K6" i="1"/>
  <c r="K7" i="1"/>
  <c r="K8" i="1"/>
  <c r="K9" i="1"/>
  <c r="K10" i="1"/>
  <c r="K11" i="1"/>
  <c r="K12" i="1"/>
  <c r="K13" i="1"/>
  <c r="K14" i="1"/>
  <c r="K3" i="1"/>
  <c r="C18" i="1"/>
  <c r="D18" i="1"/>
  <c r="E18" i="1"/>
  <c r="F18" i="1"/>
  <c r="B18" i="1"/>
  <c r="F17" i="1"/>
  <c r="E17" i="1"/>
  <c r="D17" i="1"/>
  <c r="C17" i="1"/>
  <c r="B17" i="1"/>
  <c r="I3" i="1"/>
  <c r="I4" i="1"/>
  <c r="I5" i="1"/>
  <c r="I6" i="1"/>
  <c r="I7" i="1"/>
  <c r="I8" i="1"/>
  <c r="I9" i="1"/>
  <c r="I10" i="1"/>
  <c r="I11" i="1"/>
  <c r="I12" i="1"/>
  <c r="I13" i="1"/>
  <c r="I14" i="1"/>
  <c r="J4" i="1"/>
  <c r="J5" i="1"/>
  <c r="J3" i="1"/>
  <c r="C16" i="1"/>
  <c r="D16" i="1"/>
  <c r="E16" i="1"/>
  <c r="F16" i="1"/>
  <c r="B16" i="1"/>
  <c r="H4" i="1"/>
  <c r="H5" i="1"/>
  <c r="H6" i="1"/>
  <c r="H7" i="1"/>
  <c r="H8" i="1"/>
  <c r="H9" i="1"/>
  <c r="H10" i="1"/>
  <c r="H11" i="1"/>
  <c r="H12" i="1"/>
  <c r="H13" i="1"/>
  <c r="H14" i="1"/>
  <c r="H3" i="1"/>
  <c r="A23" i="1"/>
  <c r="G4" i="1"/>
  <c r="G5" i="1"/>
  <c r="G6" i="1"/>
  <c r="G7" i="1"/>
  <c r="G8" i="1"/>
  <c r="G9" i="1"/>
  <c r="G10" i="1"/>
  <c r="G11" i="1"/>
  <c r="G12" i="1"/>
  <c r="G13" i="1"/>
  <c r="G14" i="1"/>
  <c r="G3" i="1"/>
  <c r="C15" i="1"/>
  <c r="D15" i="1"/>
  <c r="E15" i="1"/>
  <c r="F15" i="1"/>
  <c r="B15" i="1"/>
  <c r="J8" i="1" l="1"/>
  <c r="J13" i="1"/>
  <c r="J14" i="1"/>
  <c r="J12" i="1"/>
  <c r="J11" i="1"/>
  <c r="J7" i="1"/>
  <c r="J10" i="1"/>
  <c r="J6" i="1"/>
  <c r="J9" i="1"/>
</calcChain>
</file>

<file path=xl/sharedStrings.xml><?xml version="1.0" encoding="utf-8"?>
<sst xmlns="http://schemas.openxmlformats.org/spreadsheetml/2006/main" count="79" uniqueCount="62">
  <si>
    <t>Vendas realizadas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</si>
  <si>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</si>
  <si>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</si>
  <si>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</si>
  <si>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</si>
  <si>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</si>
  <si>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</si>
  <si>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</si>
  <si>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</si>
  <si>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</si>
  <si>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</si>
  <si>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</si>
  <si>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</si>
  <si>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por ano</t>
  </si>
  <si>
    <t>Total vendido por mês</t>
  </si>
  <si>
    <t>Total Geral</t>
  </si>
  <si>
    <t>Media mensal</t>
  </si>
  <si>
    <t>media anual</t>
  </si>
  <si>
    <t>Media em relação ao total</t>
  </si>
  <si>
    <t>desvio padrão</t>
  </si>
  <si>
    <t>mês de maior venda</t>
  </si>
  <si>
    <t>valor da maior</t>
  </si>
  <si>
    <t>moda mensal</t>
  </si>
  <si>
    <t>moda anual</t>
  </si>
  <si>
    <t>Ordem</t>
  </si>
  <si>
    <t>Classe</t>
  </si>
  <si>
    <t>10|-20</t>
  </si>
  <si>
    <t>20|-40</t>
  </si>
  <si>
    <t>40|-60</t>
  </si>
  <si>
    <t>60|-80</t>
  </si>
  <si>
    <t>80|-100</t>
  </si>
  <si>
    <t>FA</t>
  </si>
  <si>
    <t>FR</t>
  </si>
  <si>
    <t>Faac</t>
  </si>
  <si>
    <t>Frac</t>
  </si>
  <si>
    <t>soma</t>
  </si>
  <si>
    <t>moda</t>
  </si>
  <si>
    <t>media</t>
  </si>
  <si>
    <t>mediana</t>
  </si>
  <si>
    <t>desvio-padrão</t>
  </si>
  <si>
    <t>Jotaro</t>
  </si>
  <si>
    <t>Josuke</t>
  </si>
  <si>
    <t>Jonathan</t>
  </si>
  <si>
    <t>joseph</t>
  </si>
  <si>
    <t>Dio</t>
  </si>
  <si>
    <t>Joyline</t>
  </si>
  <si>
    <t>Giorno</t>
  </si>
  <si>
    <t>Alunos</t>
  </si>
  <si>
    <t>N1</t>
  </si>
  <si>
    <t>N2</t>
  </si>
  <si>
    <t>N3</t>
  </si>
  <si>
    <t>Media</t>
  </si>
  <si>
    <t>8% da media</t>
  </si>
  <si>
    <t>Mediana</t>
  </si>
  <si>
    <t>Moda</t>
  </si>
  <si>
    <t>Dvp</t>
  </si>
  <si>
    <t>N de gols por partida</t>
  </si>
  <si>
    <t>Frequencia de jogos</t>
  </si>
  <si>
    <t>dvp</t>
  </si>
  <si>
    <t>variancia</t>
  </si>
  <si>
    <t>alternativa B : A media aritimetica fica subtraida de 5 unidades e a variancia não se altera</t>
  </si>
  <si>
    <t>DVP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</si>
</sst>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2" fontId="0" fillId="0" borderId="0" xfId="0" applyNumberFormat="1"/>
    <xf numFmtId="0" fontId="0" fillId="0" borderId="1" xfId="0" applyFill="1" applyBorder="1"/>
    <xf numFmtId="2" fontId="0" fillId="0" borderId="1" xfId="0" applyNumberFormat="1" applyBorder="1"/>
    <xf numFmtId="166" fontId="0" fillId="0" borderId="1" xfId="0" applyNumberFormat="1" applyBorder="1"/>
    <xf numFmtId="44" fontId="0" fillId="0" borderId="1" xfId="1" applyFont="1" applyBorder="1"/>
    <xf numFmtId="0" fontId="3" fillId="0" borderId="1" xfId="0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u="sng"/>
              <a:t>Grafico questão</a:t>
            </a:r>
            <a:r>
              <a:rPr lang="pt-BR" u="sng" baseline="0"/>
              <a:t> 1-G</a:t>
            </a:r>
            <a:endParaRPr lang="pt-BR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'ED10-1'!$D$2:$D$6</c:f>
              <c:strCache>
                <c:ptCount val="5"/>
                <c:pt idx="0">
                  <c:v>10|-20</c:v>
                </c:pt>
                <c:pt idx="1">
                  <c:v>20|-40</c:v>
                </c:pt>
                <c:pt idx="2">
                  <c:v>40|-60</c:v>
                </c:pt>
                <c:pt idx="3">
                  <c:v>60|-80</c:v>
                </c:pt>
                <c:pt idx="4">
                  <c:v>80|-100</c:v>
                </c:pt>
              </c:strCache>
            </c:strRef>
          </c:cat>
          <c:val>
            <c:numRef>
              <c:f>'ED10-1'!$E$2:$E$6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8-475C-969E-5F7946A63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466384"/>
        <c:axId val="64108624"/>
      </c:barChart>
      <c:catAx>
        <c:axId val="193446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108624"/>
        <c:crosses val="autoZero"/>
        <c:auto val="1"/>
        <c:lblAlgn val="ctr"/>
        <c:lblOffset val="100"/>
        <c:noMultiLvlLbl val="0"/>
      </c:catAx>
      <c:valAx>
        <c:axId val="6410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446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0</xdr:row>
      <xdr:rowOff>4762</xdr:rowOff>
    </xdr:from>
    <xdr:to>
      <xdr:col>19</xdr:col>
      <xdr:colOff>0</xdr:colOff>
      <xdr:row>14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60B46A-0289-4378-9489-62A19EF72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C75D-5511-4536-8BB6-88262C9D6DB0}">
  <dimension ref="A1:O23"/>
  <sheetViews>
    <sheetView workbookViewId="0">
      <selection activeCell="F21" sqref="F21"/>
    </sheetView>
  </sheetViews>
  <sheetFormatPr defaultRowHeight="15" x14ac:dyDescent="0.25"/>
  <cols>
    <col min="1" max="1" width="19.140625" bestFit="1" customWidth="1"/>
    <col min="2" max="6" width="10.5703125" bestFit="1" customWidth="1"/>
    <col min="7" max="7" width="21" bestFit="1" customWidth="1"/>
    <col min="8" max="8" width="13.5703125" bestFit="1" customWidth="1"/>
    <col min="9" max="9" width="24.28515625" bestFit="1" customWidth="1"/>
    <col min="10" max="10" width="13.5703125" bestFit="1" customWidth="1"/>
    <col min="11" max="11" width="12.85546875" bestFit="1" customWidth="1"/>
  </cols>
  <sheetData>
    <row r="1" spans="1:15" x14ac:dyDescent="0.25">
      <c r="A1" s="2" t="s">
        <v>0</v>
      </c>
      <c r="B1" s="3"/>
      <c r="C1" s="3"/>
      <c r="D1" s="3"/>
      <c r="E1" s="3"/>
      <c r="F1" s="3"/>
      <c r="G1" s="3"/>
      <c r="H1" s="4"/>
      <c r="I1" s="4"/>
      <c r="J1" s="4"/>
      <c r="K1" s="4"/>
    </row>
    <row r="2" spans="1:15" x14ac:dyDescent="0.25">
      <c r="A2" s="4"/>
      <c r="B2" s="4">
        <v>2002</v>
      </c>
      <c r="C2" s="4">
        <v>2003</v>
      </c>
      <c r="D2" s="4">
        <v>2004</v>
      </c>
      <c r="E2" s="4">
        <v>2005</v>
      </c>
      <c r="F2" s="4">
        <v>2006</v>
      </c>
      <c r="G2" s="4" t="s">
        <v>14</v>
      </c>
      <c r="H2" s="4" t="s">
        <v>16</v>
      </c>
      <c r="I2" s="4" t="s">
        <v>18</v>
      </c>
      <c r="J2" s="7" t="s">
        <v>19</v>
      </c>
      <c r="K2" s="7" t="s">
        <v>22</v>
      </c>
      <c r="L2" s="5"/>
      <c r="M2" s="5"/>
      <c r="N2" s="5"/>
      <c r="O2" s="5"/>
    </row>
    <row r="3" spans="1:15" x14ac:dyDescent="0.25">
      <c r="A3" s="4" t="s">
        <v>1</v>
      </c>
      <c r="B3" s="10">
        <v>25</v>
      </c>
      <c r="C3" s="10">
        <v>54</v>
      </c>
      <c r="D3" s="10">
        <v>90</v>
      </c>
      <c r="E3" s="10">
        <v>47</v>
      </c>
      <c r="F3" s="10">
        <v>30</v>
      </c>
      <c r="G3" s="4">
        <f>SUM(B3:F3)</f>
        <v>246</v>
      </c>
      <c r="H3" s="4">
        <f>AVERAGE(B3:F3)</f>
        <v>49.2</v>
      </c>
      <c r="I3" s="8">
        <f>G3/(5*12)</f>
        <v>4.0999999999999996</v>
      </c>
      <c r="J3" s="9">
        <f>STDEVA(B3:F14)</f>
        <v>26.090043991534895</v>
      </c>
      <c r="K3" s="4" t="e">
        <f>MODE(B3:F3)</f>
        <v>#N/A</v>
      </c>
      <c r="L3" s="5"/>
      <c r="M3" s="5"/>
      <c r="N3" s="5"/>
      <c r="O3" s="5"/>
    </row>
    <row r="4" spans="1:15" x14ac:dyDescent="0.25">
      <c r="A4" s="4" t="s">
        <v>2</v>
      </c>
      <c r="B4" s="10">
        <v>99</v>
      </c>
      <c r="C4" s="10">
        <v>91</v>
      </c>
      <c r="D4" s="10">
        <v>41</v>
      </c>
      <c r="E4" s="10">
        <v>34</v>
      </c>
      <c r="F4" s="10">
        <v>65</v>
      </c>
      <c r="G4" s="4">
        <f t="shared" ref="G4:G14" si="0">SUM(B4:F4)</f>
        <v>330</v>
      </c>
      <c r="H4" s="4">
        <f t="shared" ref="H4:H14" si="1">AVERAGE(B4:F4)</f>
        <v>66</v>
      </c>
      <c r="I4" s="8">
        <f t="shared" ref="I4:I14" si="2">G4/(5*12)</f>
        <v>5.5</v>
      </c>
      <c r="J4" s="9">
        <f t="shared" ref="J4:J14" si="3">STDEVA(B4:F15)</f>
        <v>145.284801153898</v>
      </c>
      <c r="K4" s="4" t="e">
        <f t="shared" ref="K4:K14" si="4">MODE(B4:F4)</f>
        <v>#N/A</v>
      </c>
      <c r="L4" s="5"/>
      <c r="M4" s="5"/>
      <c r="N4" s="5"/>
      <c r="O4" s="5"/>
    </row>
    <row r="5" spans="1:15" x14ac:dyDescent="0.25">
      <c r="A5" s="4" t="s">
        <v>3</v>
      </c>
      <c r="B5" s="10">
        <v>25</v>
      </c>
      <c r="C5" s="10">
        <v>26</v>
      </c>
      <c r="D5" s="10">
        <v>79</v>
      </c>
      <c r="E5" s="10">
        <v>19</v>
      </c>
      <c r="F5" s="10">
        <v>21</v>
      </c>
      <c r="G5" s="4">
        <f t="shared" si="0"/>
        <v>170</v>
      </c>
      <c r="H5" s="4">
        <f t="shared" si="1"/>
        <v>34</v>
      </c>
      <c r="I5" s="8">
        <f t="shared" si="2"/>
        <v>2.8333333333333335</v>
      </c>
      <c r="J5" s="9">
        <f t="shared" si="3"/>
        <v>145.45512941110914</v>
      </c>
      <c r="K5" s="4" t="e">
        <f t="shared" si="4"/>
        <v>#N/A</v>
      </c>
      <c r="L5" s="5"/>
      <c r="M5" s="5"/>
      <c r="N5" s="5"/>
      <c r="O5" s="5"/>
    </row>
    <row r="6" spans="1:15" x14ac:dyDescent="0.25">
      <c r="A6" s="4" t="s">
        <v>4</v>
      </c>
      <c r="B6" s="10">
        <v>38</v>
      </c>
      <c r="C6" s="10">
        <v>20</v>
      </c>
      <c r="D6" s="10">
        <v>84</v>
      </c>
      <c r="E6" s="10">
        <v>23</v>
      </c>
      <c r="F6" s="10">
        <v>64</v>
      </c>
      <c r="G6" s="4">
        <f t="shared" si="0"/>
        <v>229</v>
      </c>
      <c r="H6" s="4">
        <f t="shared" si="1"/>
        <v>45.8</v>
      </c>
      <c r="I6" s="8">
        <f t="shared" si="2"/>
        <v>3.8166666666666669</v>
      </c>
      <c r="J6" s="9">
        <f t="shared" si="3"/>
        <v>146.66201758703343</v>
      </c>
      <c r="K6" s="4" t="e">
        <f t="shared" si="4"/>
        <v>#N/A</v>
      </c>
      <c r="L6" s="5"/>
      <c r="M6" s="5"/>
      <c r="N6" s="5"/>
      <c r="O6" s="5"/>
    </row>
    <row r="7" spans="1:15" x14ac:dyDescent="0.25">
      <c r="A7" s="4" t="s">
        <v>5</v>
      </c>
      <c r="B7" s="10">
        <v>14</v>
      </c>
      <c r="C7" s="10">
        <v>34</v>
      </c>
      <c r="D7" s="10">
        <v>19</v>
      </c>
      <c r="E7" s="10">
        <v>68</v>
      </c>
      <c r="F7" s="10">
        <v>47</v>
      </c>
      <c r="G7" s="4">
        <f t="shared" si="0"/>
        <v>182</v>
      </c>
      <c r="H7" s="4">
        <f t="shared" si="1"/>
        <v>36.4</v>
      </c>
      <c r="I7" s="8">
        <f t="shared" si="2"/>
        <v>3.0333333333333332</v>
      </c>
      <c r="J7" s="9">
        <f t="shared" si="3"/>
        <v>146.04416669899817</v>
      </c>
      <c r="K7" s="4" t="e">
        <f t="shared" si="4"/>
        <v>#N/A</v>
      </c>
      <c r="L7" s="5"/>
      <c r="M7" s="5"/>
      <c r="N7" s="5"/>
      <c r="O7" s="5"/>
    </row>
    <row r="8" spans="1:15" x14ac:dyDescent="0.25">
      <c r="A8" s="4" t="s">
        <v>6</v>
      </c>
      <c r="B8" s="10">
        <v>55</v>
      </c>
      <c r="C8" s="10">
        <v>53</v>
      </c>
      <c r="D8" s="10">
        <v>52</v>
      </c>
      <c r="E8" s="10">
        <v>41</v>
      </c>
      <c r="F8" s="10">
        <v>26</v>
      </c>
      <c r="G8" s="4">
        <f t="shared" si="0"/>
        <v>227</v>
      </c>
      <c r="H8" s="4">
        <f t="shared" si="1"/>
        <v>45.4</v>
      </c>
      <c r="I8" s="8">
        <f t="shared" si="2"/>
        <v>3.7833333333333332</v>
      </c>
      <c r="J8" s="9" t="e">
        <f t="shared" si="3"/>
        <v>#N/A</v>
      </c>
      <c r="K8" s="4" t="e">
        <f t="shared" si="4"/>
        <v>#N/A</v>
      </c>
      <c r="L8" s="5"/>
      <c r="M8" s="5"/>
      <c r="N8" s="5"/>
      <c r="O8" s="5"/>
    </row>
    <row r="9" spans="1:15" x14ac:dyDescent="0.25">
      <c r="A9" s="4" t="s">
        <v>7</v>
      </c>
      <c r="B9" s="10">
        <v>24</v>
      </c>
      <c r="C9" s="10">
        <v>35</v>
      </c>
      <c r="D9" s="10">
        <v>62</v>
      </c>
      <c r="E9" s="10">
        <v>17</v>
      </c>
      <c r="F9" s="10">
        <v>35</v>
      </c>
      <c r="G9" s="4">
        <f t="shared" si="0"/>
        <v>173</v>
      </c>
      <c r="H9" s="4">
        <f t="shared" si="1"/>
        <v>34.6</v>
      </c>
      <c r="I9" s="8">
        <f t="shared" si="2"/>
        <v>2.8833333333333333</v>
      </c>
      <c r="J9" s="9" t="e">
        <f t="shared" si="3"/>
        <v>#N/A</v>
      </c>
      <c r="K9" s="4">
        <f t="shared" si="4"/>
        <v>35</v>
      </c>
      <c r="L9" s="5"/>
      <c r="M9" s="5"/>
      <c r="N9" s="5"/>
      <c r="O9" s="5"/>
    </row>
    <row r="10" spans="1:15" x14ac:dyDescent="0.25">
      <c r="A10" s="4" t="s">
        <v>8</v>
      </c>
      <c r="B10" s="10">
        <v>20</v>
      </c>
      <c r="C10" s="10">
        <v>98</v>
      </c>
      <c r="D10" s="10">
        <v>57</v>
      </c>
      <c r="E10" s="10">
        <v>12</v>
      </c>
      <c r="F10" s="10">
        <v>19</v>
      </c>
      <c r="G10" s="4">
        <f t="shared" si="0"/>
        <v>206</v>
      </c>
      <c r="H10" s="4">
        <f t="shared" si="1"/>
        <v>41.2</v>
      </c>
      <c r="I10" s="8">
        <f t="shared" si="2"/>
        <v>3.4333333333333331</v>
      </c>
      <c r="J10" s="9" t="e">
        <f t="shared" si="3"/>
        <v>#N/A</v>
      </c>
      <c r="K10" s="4" t="e">
        <f t="shared" si="4"/>
        <v>#N/A</v>
      </c>
      <c r="L10" s="5"/>
      <c r="M10" s="5"/>
      <c r="N10" s="5"/>
      <c r="O10" s="5"/>
    </row>
    <row r="11" spans="1:15" x14ac:dyDescent="0.25">
      <c r="A11" s="4" t="s">
        <v>9</v>
      </c>
      <c r="B11" s="10">
        <v>47</v>
      </c>
      <c r="C11" s="10">
        <v>23</v>
      </c>
      <c r="D11" s="10">
        <v>19</v>
      </c>
      <c r="E11" s="10">
        <v>12</v>
      </c>
      <c r="F11" s="10">
        <v>12</v>
      </c>
      <c r="G11" s="4">
        <f t="shared" si="0"/>
        <v>113</v>
      </c>
      <c r="H11" s="4">
        <f t="shared" si="1"/>
        <v>22.6</v>
      </c>
      <c r="I11" s="8">
        <f t="shared" si="2"/>
        <v>1.8833333333333333</v>
      </c>
      <c r="J11" s="9" t="e">
        <f t="shared" si="3"/>
        <v>#N/A</v>
      </c>
      <c r="K11" s="4">
        <f t="shared" si="4"/>
        <v>12</v>
      </c>
      <c r="L11" s="5"/>
      <c r="M11" s="5"/>
      <c r="N11" s="5"/>
      <c r="O11" s="5"/>
    </row>
    <row r="12" spans="1:15" x14ac:dyDescent="0.25">
      <c r="A12" s="4" t="s">
        <v>10</v>
      </c>
      <c r="B12" s="10">
        <v>55</v>
      </c>
      <c r="C12" s="10">
        <v>83</v>
      </c>
      <c r="D12" s="10">
        <v>35</v>
      </c>
      <c r="E12" s="10">
        <v>87</v>
      </c>
      <c r="F12" s="10">
        <v>62</v>
      </c>
      <c r="G12" s="4">
        <f t="shared" si="0"/>
        <v>322</v>
      </c>
      <c r="H12" s="4">
        <f t="shared" si="1"/>
        <v>64.400000000000006</v>
      </c>
      <c r="I12" s="8">
        <f t="shared" si="2"/>
        <v>5.3666666666666663</v>
      </c>
      <c r="J12" s="9" t="e">
        <f t="shared" si="3"/>
        <v>#N/A</v>
      </c>
      <c r="K12" s="4" t="e">
        <f t="shared" si="4"/>
        <v>#N/A</v>
      </c>
      <c r="L12" s="5"/>
      <c r="M12" s="5"/>
      <c r="N12" s="5"/>
      <c r="O12" s="5"/>
    </row>
    <row r="13" spans="1:15" x14ac:dyDescent="0.25">
      <c r="A13" s="4" t="s">
        <v>11</v>
      </c>
      <c r="B13" s="10">
        <v>36</v>
      </c>
      <c r="C13" s="10">
        <v>87</v>
      </c>
      <c r="D13" s="10">
        <v>11</v>
      </c>
      <c r="E13" s="10">
        <v>82</v>
      </c>
      <c r="F13" s="10">
        <v>64</v>
      </c>
      <c r="G13" s="4">
        <f t="shared" si="0"/>
        <v>280</v>
      </c>
      <c r="H13" s="4">
        <f t="shared" si="1"/>
        <v>56</v>
      </c>
      <c r="I13" s="8">
        <f t="shared" si="2"/>
        <v>4.666666666666667</v>
      </c>
      <c r="J13" s="9" t="e">
        <f t="shared" si="3"/>
        <v>#N/A</v>
      </c>
      <c r="K13" s="4" t="e">
        <f t="shared" si="4"/>
        <v>#N/A</v>
      </c>
      <c r="L13" s="5"/>
      <c r="M13" s="5"/>
      <c r="N13" s="5"/>
      <c r="O13" s="5"/>
    </row>
    <row r="14" spans="1:15" x14ac:dyDescent="0.25">
      <c r="A14" s="4" t="s">
        <v>12</v>
      </c>
      <c r="B14" s="10">
        <v>76</v>
      </c>
      <c r="C14" s="10">
        <v>19</v>
      </c>
      <c r="D14" s="10">
        <v>56</v>
      </c>
      <c r="E14" s="10">
        <v>84</v>
      </c>
      <c r="F14" s="10">
        <v>73</v>
      </c>
      <c r="G14" s="4">
        <f t="shared" si="0"/>
        <v>308</v>
      </c>
      <c r="H14" s="4">
        <f t="shared" si="1"/>
        <v>61.6</v>
      </c>
      <c r="I14" s="8">
        <f t="shared" si="2"/>
        <v>5.1333333333333337</v>
      </c>
      <c r="J14" s="9" t="e">
        <f t="shared" si="3"/>
        <v>#N/A</v>
      </c>
      <c r="K14" s="4" t="e">
        <f t="shared" si="4"/>
        <v>#N/A</v>
      </c>
      <c r="L14" s="5"/>
      <c r="M14" s="5"/>
      <c r="N14" s="5"/>
      <c r="O14" s="5"/>
    </row>
    <row r="15" spans="1:15" x14ac:dyDescent="0.25">
      <c r="A15" s="4" t="s">
        <v>13</v>
      </c>
      <c r="B15" s="10">
        <f>SUM(B3:B14)</f>
        <v>514</v>
      </c>
      <c r="C15" s="10">
        <f t="shared" ref="C15:F15" si="5">SUM(C3:C14)</f>
        <v>623</v>
      </c>
      <c r="D15" s="10">
        <f t="shared" si="5"/>
        <v>605</v>
      </c>
      <c r="E15" s="10">
        <f t="shared" si="5"/>
        <v>526</v>
      </c>
      <c r="F15" s="10">
        <f t="shared" si="5"/>
        <v>518</v>
      </c>
      <c r="G15" s="4"/>
      <c r="H15" s="4"/>
      <c r="I15" s="4"/>
      <c r="J15" s="4"/>
      <c r="K15" s="4"/>
      <c r="L15" s="5"/>
      <c r="M15" s="5"/>
      <c r="N15" s="5"/>
      <c r="O15" s="5"/>
    </row>
    <row r="16" spans="1:15" x14ac:dyDescent="0.25">
      <c r="A16" s="7" t="s">
        <v>17</v>
      </c>
      <c r="B16" s="10">
        <f>AVERAGE(B3:B14)</f>
        <v>42.833333333333336</v>
      </c>
      <c r="C16" s="10">
        <f t="shared" ref="C16:F16" si="6">AVERAGE(C3:C14)</f>
        <v>51.916666666666664</v>
      </c>
      <c r="D16" s="10">
        <f t="shared" si="6"/>
        <v>50.416666666666664</v>
      </c>
      <c r="E16" s="10">
        <f t="shared" si="6"/>
        <v>43.833333333333336</v>
      </c>
      <c r="F16" s="10">
        <f t="shared" si="6"/>
        <v>43.166666666666664</v>
      </c>
      <c r="G16" s="4"/>
      <c r="H16" s="4"/>
      <c r="I16" s="4"/>
      <c r="J16" s="4"/>
      <c r="K16" s="4"/>
      <c r="L16" s="5"/>
      <c r="M16" s="5"/>
      <c r="N16" s="5"/>
      <c r="O16" s="5"/>
    </row>
    <row r="17" spans="1:15" x14ac:dyDescent="0.25">
      <c r="A17" s="7" t="s">
        <v>20</v>
      </c>
      <c r="B17" s="10" t="str">
        <f>A4</f>
        <v>fevereiro</v>
      </c>
      <c r="C17" s="10" t="str">
        <f>A10</f>
        <v>agosto</v>
      </c>
      <c r="D17" s="10" t="str">
        <f>A3</f>
        <v>janeiro</v>
      </c>
      <c r="E17" s="10" t="str">
        <f>A12</f>
        <v>outubro</v>
      </c>
      <c r="F17" s="10" t="str">
        <f>A14</f>
        <v>dezembro</v>
      </c>
      <c r="G17" s="4"/>
      <c r="H17" s="4"/>
      <c r="I17" s="4"/>
      <c r="J17" s="4"/>
      <c r="K17" s="4"/>
      <c r="L17" s="5"/>
      <c r="M17" s="5"/>
      <c r="N17" s="5"/>
      <c r="O17" s="5"/>
    </row>
    <row r="18" spans="1:15" x14ac:dyDescent="0.25">
      <c r="A18" s="7" t="s">
        <v>21</v>
      </c>
      <c r="B18" s="10">
        <f>MAX(B3:B14)</f>
        <v>99</v>
      </c>
      <c r="C18" s="10">
        <f t="shared" ref="C18:F18" si="7">MAX(C3:C14)</f>
        <v>98</v>
      </c>
      <c r="D18" s="10">
        <f t="shared" si="7"/>
        <v>90</v>
      </c>
      <c r="E18" s="10">
        <f t="shared" si="7"/>
        <v>87</v>
      </c>
      <c r="F18" s="10">
        <f t="shared" si="7"/>
        <v>73</v>
      </c>
      <c r="G18" s="4"/>
      <c r="H18" s="4"/>
      <c r="I18" s="4"/>
      <c r="J18" s="4"/>
      <c r="K18" s="4"/>
      <c r="L18" s="5"/>
      <c r="M18" s="5"/>
      <c r="N18" s="5"/>
      <c r="O18" s="5"/>
    </row>
    <row r="19" spans="1:15" x14ac:dyDescent="0.25">
      <c r="A19" s="7" t="s">
        <v>23</v>
      </c>
      <c r="B19" s="10">
        <f xml:space="preserve"> MODE(B3:B14)</f>
        <v>25</v>
      </c>
      <c r="C19" s="10" t="e">
        <f t="shared" ref="C19:F19" si="8" xml:space="preserve"> MODE(C3:C14)</f>
        <v>#N/A</v>
      </c>
      <c r="D19" s="10">
        <f t="shared" si="8"/>
        <v>19</v>
      </c>
      <c r="E19" s="10">
        <f t="shared" si="8"/>
        <v>12</v>
      </c>
      <c r="F19" s="10">
        <f t="shared" si="8"/>
        <v>64</v>
      </c>
      <c r="G19" s="4"/>
      <c r="H19" s="4"/>
      <c r="I19" s="4"/>
      <c r="J19" s="4"/>
      <c r="K19" s="4"/>
    </row>
    <row r="22" spans="1:15" x14ac:dyDescent="0.25">
      <c r="A22" t="s">
        <v>15</v>
      </c>
    </row>
    <row r="23" spans="1:15" x14ac:dyDescent="0.25">
      <c r="A23">
        <f>SUM(B3:F14)</f>
        <v>2786</v>
      </c>
    </row>
  </sheetData>
  <mergeCells count="1">
    <mergeCell ref="A1:G1"/>
  </mergeCells>
  <conditionalFormatting sqref="B17">
    <cfRule type="cellIs" priority="1" operator="equal">
      <formula>99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A936-F536-4918-A984-9CCC99398991}">
  <dimension ref="A1:H20"/>
  <sheetViews>
    <sheetView workbookViewId="0">
      <selection activeCell="F2" sqref="F2"/>
    </sheetView>
  </sheetViews>
  <sheetFormatPr defaultRowHeight="15" x14ac:dyDescent="0.25"/>
  <cols>
    <col min="3" max="3" width="13.85546875" bestFit="1" customWidth="1"/>
    <col min="4" max="4" width="7.7109375" bestFit="1" customWidth="1"/>
    <col min="5" max="5" width="11.28515625" bestFit="1" customWidth="1"/>
    <col min="6" max="8" width="9.5703125" bestFit="1" customWidth="1"/>
    <col min="13" max="13" width="13.85546875" bestFit="1" customWidth="1"/>
  </cols>
  <sheetData>
    <row r="1" spans="1:8" x14ac:dyDescent="0.25">
      <c r="A1">
        <v>47</v>
      </c>
      <c r="C1" s="4" t="s">
        <v>24</v>
      </c>
      <c r="D1" s="4" t="s">
        <v>25</v>
      </c>
      <c r="E1" s="4" t="s">
        <v>31</v>
      </c>
      <c r="F1" s="4" t="s">
        <v>32</v>
      </c>
      <c r="G1" s="4" t="s">
        <v>33</v>
      </c>
      <c r="H1" s="4" t="s">
        <v>34</v>
      </c>
    </row>
    <row r="2" spans="1:8" x14ac:dyDescent="0.25">
      <c r="A2">
        <v>27</v>
      </c>
      <c r="C2" s="4">
        <v>1</v>
      </c>
      <c r="D2" s="4" t="s">
        <v>26</v>
      </c>
      <c r="E2" s="4">
        <f>COUNTIFS(A$1:A$20, "&gt;9", A$1:A$20, "&lt;21")</f>
        <v>1</v>
      </c>
      <c r="F2" s="8">
        <f>E2/20</f>
        <v>0.05</v>
      </c>
      <c r="G2" s="4">
        <f>E2</f>
        <v>1</v>
      </c>
      <c r="H2" s="8">
        <f>F2</f>
        <v>0.05</v>
      </c>
    </row>
    <row r="3" spans="1:8" x14ac:dyDescent="0.25">
      <c r="A3">
        <v>79</v>
      </c>
      <c r="C3" s="4">
        <v>2</v>
      </c>
      <c r="D3" s="4" t="s">
        <v>27</v>
      </c>
      <c r="E3" s="4">
        <f>COUNTIFS(A$1:A$20, "&gt;20", A$1:A$20, "&lt;41")</f>
        <v>4</v>
      </c>
      <c r="F3" s="8">
        <f t="shared" ref="F3:F6" si="0">E3/20</f>
        <v>0.2</v>
      </c>
      <c r="G3" s="4">
        <f>E3+G2</f>
        <v>5</v>
      </c>
      <c r="H3" s="8">
        <f>F3+H2</f>
        <v>0.25</v>
      </c>
    </row>
    <row r="4" spans="1:8" x14ac:dyDescent="0.25">
      <c r="A4">
        <v>57</v>
      </c>
      <c r="C4" s="4">
        <v>3</v>
      </c>
      <c r="D4" s="4" t="s">
        <v>28</v>
      </c>
      <c r="E4" s="4">
        <f>COUNTIFS(A$1:A$20, "&gt;40", A$1:A$20, "&lt;61")</f>
        <v>5</v>
      </c>
      <c r="F4" s="8">
        <f t="shared" si="0"/>
        <v>0.25</v>
      </c>
      <c r="G4" s="4">
        <f>E4+G3</f>
        <v>10</v>
      </c>
      <c r="H4" s="8">
        <f>F4+H3</f>
        <v>0.5</v>
      </c>
    </row>
    <row r="5" spans="1:8" x14ac:dyDescent="0.25">
      <c r="A5">
        <v>70</v>
      </c>
      <c r="C5" s="4">
        <v>4</v>
      </c>
      <c r="D5" s="4" t="s">
        <v>29</v>
      </c>
      <c r="E5" s="4">
        <f>COUNTIFS(A$1:A$20, "&gt;60", A$1:A$20, "&lt;81")</f>
        <v>4</v>
      </c>
      <c r="F5" s="8">
        <f t="shared" si="0"/>
        <v>0.2</v>
      </c>
      <c r="G5" s="4">
        <f>E5+G4</f>
        <v>14</v>
      </c>
      <c r="H5" s="8">
        <f>F5+H4</f>
        <v>0.7</v>
      </c>
    </row>
    <row r="6" spans="1:8" x14ac:dyDescent="0.25">
      <c r="A6">
        <v>51</v>
      </c>
      <c r="C6" s="4">
        <v>5</v>
      </c>
      <c r="D6" s="4" t="s">
        <v>30</v>
      </c>
      <c r="E6" s="4">
        <f>COUNTIFS(A$1:A$20, "&gt;80", A$1:A$20, "&lt;101")</f>
        <v>6</v>
      </c>
      <c r="F6" s="8">
        <f t="shared" si="0"/>
        <v>0.3</v>
      </c>
      <c r="G6" s="4">
        <f>E6+G5</f>
        <v>20</v>
      </c>
      <c r="H6" s="8">
        <f>F6+H5</f>
        <v>1</v>
      </c>
    </row>
    <row r="7" spans="1:8" x14ac:dyDescent="0.25">
      <c r="A7">
        <v>97</v>
      </c>
      <c r="C7" s="4" t="s">
        <v>35</v>
      </c>
      <c r="D7" s="4"/>
      <c r="E7" s="4">
        <f>SUM(E2:E6)</f>
        <v>20</v>
      </c>
      <c r="F7" s="4">
        <f t="shared" ref="F7:H7" si="1">SUM(F2:F6)</f>
        <v>1</v>
      </c>
      <c r="G7" s="4">
        <f t="shared" si="1"/>
        <v>50</v>
      </c>
      <c r="H7" s="4">
        <f t="shared" si="1"/>
        <v>2.5</v>
      </c>
    </row>
    <row r="8" spans="1:8" x14ac:dyDescent="0.25">
      <c r="A8">
        <v>91</v>
      </c>
      <c r="C8" s="4" t="s">
        <v>36</v>
      </c>
      <c r="D8" s="4"/>
      <c r="E8" s="4">
        <f>MODE(E2:E6)</f>
        <v>4</v>
      </c>
      <c r="F8" s="4">
        <f t="shared" ref="F8:H8" si="2">MODE(F2:F6)</f>
        <v>0.2</v>
      </c>
      <c r="G8" s="4" t="e">
        <f t="shared" si="2"/>
        <v>#N/A</v>
      </c>
      <c r="H8" s="4" t="e">
        <f t="shared" si="2"/>
        <v>#N/A</v>
      </c>
    </row>
    <row r="9" spans="1:8" x14ac:dyDescent="0.25">
      <c r="A9">
        <v>38</v>
      </c>
      <c r="C9" s="4" t="s">
        <v>37</v>
      </c>
      <c r="D9" s="4"/>
      <c r="E9" s="4">
        <f>AVERAGE(E2:E6)</f>
        <v>4</v>
      </c>
      <c r="F9" s="4">
        <f t="shared" ref="F9:H9" si="3">AVERAGE(F2:F6)</f>
        <v>0.2</v>
      </c>
      <c r="G9" s="4">
        <f t="shared" si="3"/>
        <v>10</v>
      </c>
      <c r="H9" s="4">
        <f t="shared" si="3"/>
        <v>0.5</v>
      </c>
    </row>
    <row r="10" spans="1:8" x14ac:dyDescent="0.25">
      <c r="A10">
        <v>79</v>
      </c>
      <c r="C10" s="4" t="s">
        <v>38</v>
      </c>
      <c r="D10" s="4"/>
      <c r="E10" s="4">
        <f>MEDIAN(E2:E6)</f>
        <v>4</v>
      </c>
      <c r="F10" s="4">
        <f t="shared" ref="F10:H10" si="4">MEDIAN(F2:F6)</f>
        <v>0.2</v>
      </c>
      <c r="G10" s="4">
        <f t="shared" si="4"/>
        <v>10</v>
      </c>
      <c r="H10" s="4">
        <f t="shared" si="4"/>
        <v>0.5</v>
      </c>
    </row>
    <row r="11" spans="1:8" x14ac:dyDescent="0.25">
      <c r="A11">
        <v>38</v>
      </c>
      <c r="C11" s="4" t="s">
        <v>39</v>
      </c>
      <c r="D11" s="4"/>
      <c r="E11" s="8">
        <f>STDEVA(E2:E6)</f>
        <v>1.8708286933869707</v>
      </c>
      <c r="F11" s="8">
        <f t="shared" ref="F11:H11" si="5">STDEVA(F2:F6)</f>
        <v>9.3541434669348542E-2</v>
      </c>
      <c r="G11" s="8">
        <f t="shared" si="5"/>
        <v>7.4498322128756698</v>
      </c>
      <c r="H11" s="8">
        <f t="shared" si="5"/>
        <v>0.3724916106437835</v>
      </c>
    </row>
    <row r="12" spans="1:8" x14ac:dyDescent="0.25">
      <c r="A12">
        <v>81</v>
      </c>
    </row>
    <row r="13" spans="1:8" x14ac:dyDescent="0.25">
      <c r="A13">
        <v>81</v>
      </c>
    </row>
    <row r="14" spans="1:8" x14ac:dyDescent="0.25">
      <c r="A14">
        <v>17</v>
      </c>
    </row>
    <row r="15" spans="1:8" x14ac:dyDescent="0.25">
      <c r="A15">
        <v>51</v>
      </c>
    </row>
    <row r="16" spans="1:8" x14ac:dyDescent="0.25">
      <c r="A16">
        <v>47</v>
      </c>
    </row>
    <row r="17" spans="1:1" x14ac:dyDescent="0.25">
      <c r="A17">
        <v>98</v>
      </c>
    </row>
    <row r="18" spans="1:1" x14ac:dyDescent="0.25">
      <c r="A18">
        <v>96</v>
      </c>
    </row>
    <row r="19" spans="1:1" x14ac:dyDescent="0.25">
      <c r="A19">
        <v>78</v>
      </c>
    </row>
    <row r="20" spans="1:1" x14ac:dyDescent="0.25">
      <c r="A20">
        <v>32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BB13-7DB5-41CD-96F5-FFF54134E5C6}">
  <dimension ref="A2:G9"/>
  <sheetViews>
    <sheetView workbookViewId="0">
      <selection activeCell="I6" sqref="I6"/>
    </sheetView>
  </sheetViews>
  <sheetFormatPr defaultRowHeight="15" x14ac:dyDescent="0.25"/>
  <cols>
    <col min="6" max="6" width="10.5703125" bestFit="1" customWidth="1"/>
    <col min="7" max="7" width="12.140625" bestFit="1" customWidth="1"/>
  </cols>
  <sheetData>
    <row r="2" spans="1:7" ht="15.75" x14ac:dyDescent="0.25">
      <c r="A2" s="11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/>
      <c r="G2" s="4" t="s">
        <v>52</v>
      </c>
    </row>
    <row r="3" spans="1:7" x14ac:dyDescent="0.25">
      <c r="A3" s="4" t="s">
        <v>40</v>
      </c>
      <c r="B3" s="4">
        <v>49</v>
      </c>
      <c r="C3" s="4">
        <v>36</v>
      </c>
      <c r="D3" s="4">
        <v>100</v>
      </c>
      <c r="E3" s="9">
        <f>AVERAGE(B3:D3)</f>
        <v>61.666666666666664</v>
      </c>
      <c r="F3" s="4" t="str">
        <f>IF(E3&gt;=60,"Aprovado", "Reprovado")</f>
        <v>Aprovado</v>
      </c>
      <c r="G3" s="9">
        <f>(E3/100)*8</f>
        <v>4.9333333333333336</v>
      </c>
    </row>
    <row r="4" spans="1:7" x14ac:dyDescent="0.25">
      <c r="A4" s="4" t="s">
        <v>41</v>
      </c>
      <c r="B4" s="4">
        <v>44</v>
      </c>
      <c r="C4" s="4">
        <v>17</v>
      </c>
      <c r="D4" s="4">
        <v>33</v>
      </c>
      <c r="E4" s="9">
        <f t="shared" ref="E4:E9" si="0">AVERAGE(B4:D4)</f>
        <v>31.333333333333332</v>
      </c>
      <c r="F4" s="4" t="str">
        <f t="shared" ref="F4:F9" si="1">IF(E4&gt;=60,"Aprovado", "Reprovado")</f>
        <v>Reprovado</v>
      </c>
      <c r="G4" s="9">
        <f t="shared" ref="G4:G9" si="2">(E4/100)*8</f>
        <v>2.5066666666666664</v>
      </c>
    </row>
    <row r="5" spans="1:7" x14ac:dyDescent="0.25">
      <c r="A5" s="4" t="s">
        <v>42</v>
      </c>
      <c r="B5" s="4">
        <v>58</v>
      </c>
      <c r="C5" s="4">
        <v>50</v>
      </c>
      <c r="D5" s="4">
        <v>98</v>
      </c>
      <c r="E5" s="9">
        <f t="shared" si="0"/>
        <v>68.666666666666671</v>
      </c>
      <c r="F5" s="4" t="str">
        <f t="shared" si="1"/>
        <v>Aprovado</v>
      </c>
      <c r="G5" s="9">
        <f t="shared" si="2"/>
        <v>5.4933333333333341</v>
      </c>
    </row>
    <row r="6" spans="1:7" x14ac:dyDescent="0.25">
      <c r="A6" s="4" t="s">
        <v>43</v>
      </c>
      <c r="B6" s="4">
        <v>64</v>
      </c>
      <c r="C6" s="4">
        <v>86</v>
      </c>
      <c r="D6" s="4">
        <v>80</v>
      </c>
      <c r="E6" s="9">
        <f t="shared" si="0"/>
        <v>76.666666666666671</v>
      </c>
      <c r="F6" s="4" t="str">
        <f t="shared" si="1"/>
        <v>Aprovado</v>
      </c>
      <c r="G6" s="9">
        <f t="shared" si="2"/>
        <v>6.1333333333333337</v>
      </c>
    </row>
    <row r="7" spans="1:7" x14ac:dyDescent="0.25">
      <c r="A7" s="4" t="s">
        <v>44</v>
      </c>
      <c r="B7" s="4">
        <v>29</v>
      </c>
      <c r="C7" s="4">
        <v>27</v>
      </c>
      <c r="D7" s="4">
        <v>57</v>
      </c>
      <c r="E7" s="9">
        <f t="shared" si="0"/>
        <v>37.666666666666664</v>
      </c>
      <c r="F7" s="4" t="str">
        <f t="shared" si="1"/>
        <v>Reprovado</v>
      </c>
      <c r="G7" s="9">
        <f t="shared" si="2"/>
        <v>3.0133333333333332</v>
      </c>
    </row>
    <row r="8" spans="1:7" x14ac:dyDescent="0.25">
      <c r="A8" s="4" t="s">
        <v>45</v>
      </c>
      <c r="B8" s="4">
        <v>63</v>
      </c>
      <c r="C8" s="4">
        <v>19</v>
      </c>
      <c r="D8" s="4">
        <v>58</v>
      </c>
      <c r="E8" s="9">
        <f t="shared" si="0"/>
        <v>46.666666666666664</v>
      </c>
      <c r="F8" s="4" t="str">
        <f t="shared" si="1"/>
        <v>Reprovado</v>
      </c>
      <c r="G8" s="9">
        <f t="shared" si="2"/>
        <v>3.7333333333333329</v>
      </c>
    </row>
    <row r="9" spans="1:7" x14ac:dyDescent="0.25">
      <c r="A9" s="4" t="s">
        <v>46</v>
      </c>
      <c r="B9" s="4">
        <v>49</v>
      </c>
      <c r="C9" s="4">
        <v>70</v>
      </c>
      <c r="D9" s="4">
        <v>47</v>
      </c>
      <c r="E9" s="9">
        <f t="shared" si="0"/>
        <v>55.333333333333336</v>
      </c>
      <c r="F9" s="4" t="str">
        <f t="shared" si="1"/>
        <v>Reprovado</v>
      </c>
      <c r="G9" s="9">
        <f t="shared" si="2"/>
        <v>4.4266666666666667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6F22-8ABC-4149-861A-45386D4A96A8}">
  <dimension ref="A1:J13"/>
  <sheetViews>
    <sheetView workbookViewId="0">
      <selection activeCell="B14" sqref="B14"/>
    </sheetView>
  </sheetViews>
  <sheetFormatPr defaultRowHeight="15" x14ac:dyDescent="0.25"/>
  <sheetData>
    <row r="1" spans="1:10" x14ac:dyDescent="0.25">
      <c r="A1">
        <v>2</v>
      </c>
      <c r="B1">
        <v>1</v>
      </c>
      <c r="C1">
        <v>2</v>
      </c>
      <c r="D1">
        <v>1</v>
      </c>
      <c r="E1">
        <v>1</v>
      </c>
      <c r="F1">
        <v>1</v>
      </c>
      <c r="G1">
        <v>1</v>
      </c>
      <c r="H1">
        <v>2</v>
      </c>
      <c r="I1">
        <v>2</v>
      </c>
      <c r="J1">
        <v>3</v>
      </c>
    </row>
    <row r="2" spans="1:10" x14ac:dyDescent="0.25">
      <c r="A2">
        <v>3</v>
      </c>
      <c r="B2">
        <v>2</v>
      </c>
      <c r="C2">
        <v>1</v>
      </c>
      <c r="D2">
        <v>1</v>
      </c>
      <c r="E2">
        <v>2</v>
      </c>
      <c r="F2">
        <v>1</v>
      </c>
      <c r="G2">
        <v>1</v>
      </c>
      <c r="H2">
        <v>1</v>
      </c>
      <c r="I2">
        <v>1</v>
      </c>
      <c r="J2">
        <v>2</v>
      </c>
    </row>
    <row r="3" spans="1:10" x14ac:dyDescent="0.25">
      <c r="A3">
        <v>2</v>
      </c>
      <c r="B3">
        <v>1</v>
      </c>
      <c r="C3">
        <v>2</v>
      </c>
      <c r="D3">
        <v>3</v>
      </c>
      <c r="E3">
        <v>3</v>
      </c>
      <c r="F3">
        <v>2</v>
      </c>
      <c r="G3">
        <v>2</v>
      </c>
      <c r="H3">
        <v>1</v>
      </c>
      <c r="I3">
        <v>2</v>
      </c>
      <c r="J3">
        <v>1</v>
      </c>
    </row>
    <row r="6" spans="1:10" x14ac:dyDescent="0.25">
      <c r="A6" t="s">
        <v>25</v>
      </c>
      <c r="B6" t="s">
        <v>31</v>
      </c>
      <c r="C6" t="s">
        <v>32</v>
      </c>
      <c r="D6" t="s">
        <v>33</v>
      </c>
      <c r="E6" t="s">
        <v>34</v>
      </c>
    </row>
    <row r="7" spans="1:10" x14ac:dyDescent="0.25">
      <c r="A7">
        <v>1</v>
      </c>
      <c r="B7">
        <f>COUNTIF(A$1:J$3,"=1")</f>
        <v>14</v>
      </c>
      <c r="C7" s="6">
        <f>B7/(14+12+4)</f>
        <v>0.46666666666666667</v>
      </c>
      <c r="D7">
        <f>B7</f>
        <v>14</v>
      </c>
      <c r="E7" s="6">
        <f>C7</f>
        <v>0.46666666666666667</v>
      </c>
    </row>
    <row r="8" spans="1:10" x14ac:dyDescent="0.25">
      <c r="A8">
        <v>2</v>
      </c>
      <c r="B8">
        <f>COUNTIF(A$1:J$3,"=2")</f>
        <v>12</v>
      </c>
      <c r="C8" s="6">
        <f t="shared" ref="C8:C9" si="0">B8/(14+12+4)</f>
        <v>0.4</v>
      </c>
      <c r="D8">
        <f>B8+D7</f>
        <v>26</v>
      </c>
      <c r="E8" s="6">
        <f>C8+E7</f>
        <v>0.8666666666666667</v>
      </c>
    </row>
    <row r="9" spans="1:10" x14ac:dyDescent="0.25">
      <c r="A9">
        <v>3</v>
      </c>
      <c r="B9">
        <f>COUNTIF(A$1:J$3,"=3")</f>
        <v>4</v>
      </c>
      <c r="C9" s="6">
        <f t="shared" si="0"/>
        <v>0.13333333333333333</v>
      </c>
      <c r="D9">
        <f>B9+D8</f>
        <v>30</v>
      </c>
      <c r="E9" s="6">
        <f>C9+E8</f>
        <v>1</v>
      </c>
    </row>
    <row r="10" spans="1:10" x14ac:dyDescent="0.25">
      <c r="A10" t="s">
        <v>51</v>
      </c>
      <c r="B10">
        <f>AVERAGE(A1:J3)</f>
        <v>1.6666666666666667</v>
      </c>
    </row>
    <row r="11" spans="1:10" x14ac:dyDescent="0.25">
      <c r="A11" t="s">
        <v>54</v>
      </c>
      <c r="B11">
        <f>MODE(A1:J3)</f>
        <v>1</v>
      </c>
    </row>
    <row r="12" spans="1:10" x14ac:dyDescent="0.25">
      <c r="A12" t="s">
        <v>53</v>
      </c>
      <c r="B12">
        <f>MEDIAN(A1:J3)</f>
        <v>2</v>
      </c>
    </row>
    <row r="13" spans="1:10" x14ac:dyDescent="0.25">
      <c r="A13" t="s">
        <v>55</v>
      </c>
      <c r="B13">
        <f>STDEVA(A1:J3)</f>
        <v>0.71115900221875961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A5F2-3816-4E4B-9184-BD225B5427FC}">
  <dimension ref="A1:P20"/>
  <sheetViews>
    <sheetView workbookViewId="0">
      <selection activeCell="G6" sqref="G6"/>
    </sheetView>
  </sheetViews>
  <sheetFormatPr defaultRowHeight="15" x14ac:dyDescent="0.25"/>
  <cols>
    <col min="1" max="1" width="19.5703125" bestFit="1" customWidth="1"/>
  </cols>
  <sheetData>
    <row r="1" spans="1:16" x14ac:dyDescent="0.25">
      <c r="A1" t="s">
        <v>56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L1">
        <v>0</v>
      </c>
      <c r="M1">
        <v>0</v>
      </c>
      <c r="N1">
        <v>0</v>
      </c>
      <c r="O1">
        <v>0</v>
      </c>
      <c r="P1">
        <v>0</v>
      </c>
    </row>
    <row r="2" spans="1:16" x14ac:dyDescent="0.25">
      <c r="A2" t="s">
        <v>57</v>
      </c>
      <c r="B2">
        <v>28</v>
      </c>
      <c r="C2">
        <v>26</v>
      </c>
      <c r="D2">
        <v>31</v>
      </c>
      <c r="E2">
        <v>9</v>
      </c>
      <c r="F2">
        <v>4</v>
      </c>
      <c r="G2">
        <v>2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5">
      <c r="A5" t="s">
        <v>51</v>
      </c>
      <c r="B5" t="s">
        <v>38</v>
      </c>
      <c r="C5" t="s">
        <v>36</v>
      </c>
      <c r="D5" t="s">
        <v>58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>
        <f>AVERAGE(L1:P20)</f>
        <v>1.41</v>
      </c>
      <c r="B6">
        <f>MEDIAN(L1:P20)</f>
        <v>1</v>
      </c>
      <c r="C6">
        <f>MODE(L1:P20)</f>
        <v>2</v>
      </c>
      <c r="D6" s="6">
        <f>STDEVA(L1:P20)</f>
        <v>1.2151817422372122</v>
      </c>
      <c r="L6">
        <v>0</v>
      </c>
      <c r="M6">
        <v>0</v>
      </c>
      <c r="N6">
        <v>0</v>
      </c>
      <c r="O6">
        <v>1</v>
      </c>
      <c r="P6">
        <v>1</v>
      </c>
    </row>
    <row r="7" spans="1:16" x14ac:dyDescent="0.25">
      <c r="L7">
        <v>1</v>
      </c>
      <c r="M7">
        <v>1</v>
      </c>
      <c r="N7">
        <v>1</v>
      </c>
      <c r="O7">
        <v>1</v>
      </c>
      <c r="P7">
        <v>1</v>
      </c>
    </row>
    <row r="8" spans="1:16" x14ac:dyDescent="0.25">
      <c r="L8">
        <v>1</v>
      </c>
      <c r="M8">
        <v>1</v>
      </c>
      <c r="N8">
        <v>1</v>
      </c>
      <c r="O8">
        <v>1</v>
      </c>
      <c r="P8">
        <v>1</v>
      </c>
    </row>
    <row r="9" spans="1:16" x14ac:dyDescent="0.25">
      <c r="L9">
        <v>1</v>
      </c>
      <c r="M9">
        <v>1</v>
      </c>
      <c r="N9">
        <v>1</v>
      </c>
      <c r="O9">
        <v>1</v>
      </c>
      <c r="P9">
        <v>1</v>
      </c>
    </row>
    <row r="10" spans="1:16" x14ac:dyDescent="0.25">
      <c r="L10">
        <v>1</v>
      </c>
      <c r="M10">
        <v>1</v>
      </c>
      <c r="N10">
        <v>1</v>
      </c>
      <c r="O10">
        <v>1</v>
      </c>
      <c r="P10">
        <v>1</v>
      </c>
    </row>
    <row r="11" spans="1:16" x14ac:dyDescent="0.25">
      <c r="L11">
        <v>1</v>
      </c>
      <c r="M11">
        <v>1</v>
      </c>
      <c r="N11">
        <v>1</v>
      </c>
      <c r="O11">
        <v>1</v>
      </c>
      <c r="P11">
        <v>2</v>
      </c>
    </row>
    <row r="12" spans="1:16" x14ac:dyDescent="0.25">
      <c r="L12">
        <v>2</v>
      </c>
      <c r="M12">
        <v>2</v>
      </c>
      <c r="N12">
        <v>2</v>
      </c>
      <c r="O12">
        <v>2</v>
      </c>
      <c r="P12">
        <v>2</v>
      </c>
    </row>
    <row r="13" spans="1:16" x14ac:dyDescent="0.25">
      <c r="L13">
        <v>2</v>
      </c>
      <c r="M13">
        <v>2</v>
      </c>
      <c r="N13">
        <v>2</v>
      </c>
      <c r="O13">
        <v>2</v>
      </c>
      <c r="P13">
        <v>2</v>
      </c>
    </row>
    <row r="14" spans="1:16" x14ac:dyDescent="0.25">
      <c r="L14">
        <v>2</v>
      </c>
      <c r="M14">
        <v>2</v>
      </c>
      <c r="N14">
        <v>2</v>
      </c>
      <c r="O14">
        <v>2</v>
      </c>
      <c r="P14">
        <v>2</v>
      </c>
    </row>
    <row r="15" spans="1:16" x14ac:dyDescent="0.25">
      <c r="L15">
        <v>2</v>
      </c>
      <c r="M15">
        <v>2</v>
      </c>
      <c r="N15">
        <v>2</v>
      </c>
      <c r="O15">
        <v>2</v>
      </c>
      <c r="P15">
        <v>2</v>
      </c>
    </row>
    <row r="16" spans="1:16" x14ac:dyDescent="0.25">
      <c r="L16">
        <v>2</v>
      </c>
      <c r="M16">
        <v>2</v>
      </c>
      <c r="N16">
        <v>2</v>
      </c>
      <c r="O16">
        <v>2</v>
      </c>
      <c r="P16">
        <v>2</v>
      </c>
    </row>
    <row r="17" spans="12:16" x14ac:dyDescent="0.25">
      <c r="L17">
        <v>2</v>
      </c>
      <c r="M17">
        <v>2</v>
      </c>
      <c r="N17">
        <v>2</v>
      </c>
      <c r="O17">
        <v>2</v>
      </c>
      <c r="P17">
        <v>2</v>
      </c>
    </row>
    <row r="18" spans="12:16" x14ac:dyDescent="0.25">
      <c r="L18">
        <v>3</v>
      </c>
      <c r="M18">
        <v>3</v>
      </c>
      <c r="N18">
        <v>3</v>
      </c>
      <c r="O18">
        <v>3</v>
      </c>
      <c r="P18">
        <v>3</v>
      </c>
    </row>
    <row r="19" spans="12:16" x14ac:dyDescent="0.25">
      <c r="L19">
        <v>3</v>
      </c>
      <c r="M19">
        <v>3</v>
      </c>
      <c r="N19">
        <v>3</v>
      </c>
      <c r="O19">
        <v>3</v>
      </c>
      <c r="P19">
        <v>4</v>
      </c>
    </row>
    <row r="20" spans="12:16" x14ac:dyDescent="0.25">
      <c r="L20">
        <v>4</v>
      </c>
      <c r="M20">
        <v>4</v>
      </c>
      <c r="N20">
        <v>4</v>
      </c>
      <c r="O20">
        <v>5</v>
      </c>
      <c r="P20">
        <v>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F78F-AA6B-4F65-AB14-9795A90144E8}">
  <dimension ref="A1:J7"/>
  <sheetViews>
    <sheetView workbookViewId="0">
      <selection activeCell="G10" sqref="G10"/>
    </sheetView>
  </sheetViews>
  <sheetFormatPr defaultRowHeight="15" x14ac:dyDescent="0.25"/>
  <sheetData>
    <row r="1" spans="1:10" x14ac:dyDescent="0.25">
      <c r="G1" t="s">
        <v>51</v>
      </c>
      <c r="H1" t="s">
        <v>59</v>
      </c>
    </row>
    <row r="2" spans="1:10" x14ac:dyDescent="0.25">
      <c r="A2">
        <v>15</v>
      </c>
      <c r="B2">
        <v>30</v>
      </c>
      <c r="C2">
        <v>45</v>
      </c>
      <c r="D2">
        <v>60</v>
      </c>
      <c r="E2">
        <v>75</v>
      </c>
      <c r="F2">
        <v>90</v>
      </c>
      <c r="G2">
        <f>AVERAGE(A2:F2)</f>
        <v>52.5</v>
      </c>
      <c r="H2">
        <f>F2-A2</f>
        <v>75</v>
      </c>
    </row>
    <row r="4" spans="1:10" x14ac:dyDescent="0.25">
      <c r="A4">
        <v>10</v>
      </c>
      <c r="B4">
        <v>25</v>
      </c>
      <c r="C4">
        <v>40</v>
      </c>
      <c r="D4">
        <v>55</v>
      </c>
      <c r="E4">
        <v>70</v>
      </c>
      <c r="F4">
        <v>85</v>
      </c>
      <c r="G4">
        <f t="shared" ref="G3:G4" si="0">AVERAGE(A4:F4)</f>
        <v>47.5</v>
      </c>
      <c r="H4">
        <f t="shared" ref="H3:H4" si="1">F4-A4</f>
        <v>75</v>
      </c>
    </row>
    <row r="7" spans="1:10" x14ac:dyDescent="0.25">
      <c r="B7" s="1" t="s">
        <v>60</v>
      </c>
      <c r="C7" s="1"/>
      <c r="D7" s="1"/>
      <c r="E7" s="1"/>
      <c r="F7" s="1"/>
      <c r="G7" s="1"/>
      <c r="H7" s="1"/>
      <c r="I7" s="1"/>
      <c r="J7" s="1"/>
    </row>
  </sheetData>
  <mergeCells count="1">
    <mergeCell ref="B7:J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5456-214F-415E-BB37-466AFAEF2B6C}">
  <dimension ref="A1:C14"/>
  <sheetViews>
    <sheetView tabSelected="1" workbookViewId="0">
      <selection activeCell="N5" sqref="N5"/>
    </sheetView>
  </sheetViews>
  <sheetFormatPr defaultRowHeight="15" x14ac:dyDescent="0.25"/>
  <sheetData>
    <row r="1" spans="1:3" x14ac:dyDescent="0.25">
      <c r="A1" s="4"/>
      <c r="B1" s="4">
        <v>6.9</v>
      </c>
      <c r="C1" s="4">
        <v>6000</v>
      </c>
    </row>
    <row r="2" spans="1:3" x14ac:dyDescent="0.25">
      <c r="A2" s="4"/>
      <c r="B2" s="4">
        <v>8.5</v>
      </c>
      <c r="C2" s="4">
        <v>5700</v>
      </c>
    </row>
    <row r="3" spans="1:3" x14ac:dyDescent="0.25">
      <c r="A3" s="4"/>
      <c r="B3" s="4">
        <v>8.6</v>
      </c>
      <c r="C3" s="4">
        <v>131</v>
      </c>
    </row>
    <row r="4" spans="1:3" x14ac:dyDescent="0.25">
      <c r="A4" s="4"/>
      <c r="B4" s="4">
        <v>7.8</v>
      </c>
      <c r="C4" s="4">
        <v>66000</v>
      </c>
    </row>
    <row r="5" spans="1:3" x14ac:dyDescent="0.25">
      <c r="A5" s="4"/>
      <c r="B5" s="4">
        <v>6.2</v>
      </c>
      <c r="C5" s="4">
        <v>5000</v>
      </c>
    </row>
    <row r="6" spans="1:3" x14ac:dyDescent="0.25">
      <c r="A6" s="4"/>
      <c r="B6" s="4">
        <v>7.9</v>
      </c>
      <c r="C6" s="4">
        <v>22000</v>
      </c>
    </row>
    <row r="7" spans="1:3" x14ac:dyDescent="0.25">
      <c r="A7" s="4"/>
      <c r="B7" s="4">
        <v>7.7</v>
      </c>
      <c r="C7" s="4">
        <v>600</v>
      </c>
    </row>
    <row r="8" spans="1:3" x14ac:dyDescent="0.25">
      <c r="A8" s="4"/>
      <c r="B8" s="4">
        <v>7.8</v>
      </c>
      <c r="C8" s="4">
        <v>177</v>
      </c>
    </row>
    <row r="9" spans="1:3" x14ac:dyDescent="0.25">
      <c r="A9" s="4"/>
      <c r="B9" s="4">
        <v>7.9</v>
      </c>
      <c r="C9" s="4">
        <v>9500</v>
      </c>
    </row>
    <row r="10" spans="1:3" x14ac:dyDescent="0.25">
      <c r="A10" s="4"/>
      <c r="B10" s="4">
        <v>6.6</v>
      </c>
      <c r="C10" s="4">
        <v>60</v>
      </c>
    </row>
    <row r="11" spans="1:3" x14ac:dyDescent="0.25">
      <c r="A11" s="4" t="s">
        <v>51</v>
      </c>
      <c r="B11" s="4">
        <f>AVERAGE(B1:B10)</f>
        <v>7.589999999999999</v>
      </c>
      <c r="C11" s="4">
        <f>AVERAGE(C1:C10)</f>
        <v>11516.8</v>
      </c>
    </row>
    <row r="12" spans="1:3" x14ac:dyDescent="0.25">
      <c r="A12" s="4" t="s">
        <v>53</v>
      </c>
      <c r="B12" s="4">
        <f>MEDIAN(B1:B10)</f>
        <v>7.8</v>
      </c>
      <c r="C12" s="4">
        <f>MEDIAN(C1:C10)</f>
        <v>5350</v>
      </c>
    </row>
    <row r="13" spans="1:3" x14ac:dyDescent="0.25">
      <c r="A13" s="4" t="s">
        <v>54</v>
      </c>
      <c r="B13" s="4">
        <f>MODE(B1:B10)</f>
        <v>7.8</v>
      </c>
      <c r="C13" s="4" t="e">
        <f>MODE(C1:C10)</f>
        <v>#N/A</v>
      </c>
    </row>
    <row r="14" spans="1:3" x14ac:dyDescent="0.25">
      <c r="A14" s="4" t="s">
        <v>61</v>
      </c>
      <c r="B14" s="9">
        <f>STDEVA(B1:B10)</f>
        <v>0.78379419067337641</v>
      </c>
      <c r="C14" s="9">
        <f>STDEVA(C1:C10)</f>
        <v>20269.805863237401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2FBE-8806-48F7-857C-86AA8026511E}">
  <dimension ref="A1:E8"/>
  <sheetViews>
    <sheetView workbookViewId="0">
      <selection activeCell="E2" sqref="A1:E2"/>
    </sheetView>
  </sheetViews>
  <sheetFormatPr defaultRowHeight="15" x14ac:dyDescent="0.25"/>
  <sheetData>
    <row r="1" spans="1:5" x14ac:dyDescent="0.25">
      <c r="A1" s="4">
        <v>58</v>
      </c>
      <c r="B1" s="4">
        <v>39</v>
      </c>
      <c r="C1" s="4">
        <v>63</v>
      </c>
      <c r="D1" s="4">
        <v>60</v>
      </c>
      <c r="E1" s="4">
        <v>95</v>
      </c>
    </row>
    <row r="2" spans="1:5" x14ac:dyDescent="0.25">
      <c r="A2" s="4">
        <v>48</v>
      </c>
      <c r="B2" s="4">
        <v>56</v>
      </c>
      <c r="C2" s="4">
        <v>72</v>
      </c>
      <c r="D2" s="4">
        <v>75</v>
      </c>
      <c r="E2" s="4">
        <v>80</v>
      </c>
    </row>
    <row r="5" spans="1:5" x14ac:dyDescent="0.25">
      <c r="A5" s="4" t="s">
        <v>37</v>
      </c>
      <c r="B5" s="4">
        <f>AVERAGE(A1:E2)</f>
        <v>64.599999999999994</v>
      </c>
    </row>
    <row r="6" spans="1:5" x14ac:dyDescent="0.25">
      <c r="A6" s="4" t="s">
        <v>38</v>
      </c>
      <c r="B6" s="4">
        <f>MEDIAN(A1:E2)</f>
        <v>61.5</v>
      </c>
    </row>
    <row r="7" spans="1:5" x14ac:dyDescent="0.25">
      <c r="A7" s="4" t="s">
        <v>36</v>
      </c>
      <c r="B7" s="4" t="e">
        <f>MODE(A1:E2)</f>
        <v>#N/A</v>
      </c>
    </row>
    <row r="8" spans="1:5" x14ac:dyDescent="0.25">
      <c r="A8" s="4" t="s">
        <v>61</v>
      </c>
      <c r="B8" s="9">
        <f>STDEVA(A1:E2)</f>
        <v>16.317679573599513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Estudo dirigido 9</vt:lpstr>
      <vt:lpstr>ED10-1</vt:lpstr>
      <vt:lpstr>ED10-2</vt:lpstr>
      <vt:lpstr>EC-1</vt:lpstr>
      <vt:lpstr>EC-2</vt:lpstr>
      <vt:lpstr>EC-3</vt:lpstr>
      <vt:lpstr>EC-4</vt:lpstr>
      <vt:lpstr>EC-5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</dc:creator>
  <cp:lastModifiedBy>Victor Hugo</cp:lastModifiedBy>
  <dcterms:created xsi:type="dcterms:W3CDTF">2020-09-16T19:09:10Z</dcterms:created>
  <dcterms:modified xsi:type="dcterms:W3CDTF">2020-09-16T20:44:16Z</dcterms:modified>
</cp:coreProperties>
</file>