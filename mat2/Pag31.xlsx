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ii\OneDrive\Área de Trabalho\Trabalhos\mat2\"/>
    </mc:Choice>
  </mc:AlternateContent>
  <xr:revisionPtr revIDLastSave="0" documentId="8_{B874425E-0E4C-46B4-B69D-164FB88C1247}" xr6:coauthVersionLast="45" xr6:coauthVersionMax="45" xr10:uidLastSave="{00000000-0000-0000-0000-000000000000}"/>
  <bookViews>
    <workbookView xWindow="16650" yWindow="2610" windowWidth="18000" windowHeight="9360" firstSheet="2" activeTab="5" xr2:uid="{414B11DB-7C3D-4818-A354-DD6122A0A85C}"/>
  </bookViews>
  <sheets>
    <sheet name="ED10-1)" sheetId="1" r:id="rId1"/>
    <sheet name="ED10-2)" sheetId="2" r:id="rId2"/>
    <sheet name="ED10-3)" sheetId="3" r:id="rId3"/>
    <sheet name="ED10-4)" sheetId="4" r:id="rId4"/>
    <sheet name="ED10-5)" sheetId="5" r:id="rId5"/>
    <sheet name="ED10-6)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5" l="1"/>
  <c r="B6" i="5"/>
  <c r="C6" i="5"/>
  <c r="D6" i="5"/>
  <c r="B6" i="4"/>
  <c r="B7" i="4"/>
  <c r="B9" i="4"/>
  <c r="B10" i="4"/>
  <c r="B5" i="4" s="1"/>
  <c r="B11" i="4"/>
  <c r="B8" i="4" s="1"/>
  <c r="L2" i="3"/>
  <c r="M2" i="3"/>
  <c r="N2" i="3"/>
  <c r="O2" i="3"/>
  <c r="G2" i="2"/>
  <c r="G3" i="2"/>
  <c r="C2" i="1"/>
</calcChain>
</file>

<file path=xl/sharedStrings.xml><?xml version="1.0" encoding="utf-8"?>
<sst xmlns="http://schemas.openxmlformats.org/spreadsheetml/2006/main" count="25" uniqueCount="19">
  <si>
    <t>Media</t>
  </si>
  <si>
    <t>Rafael e o mais regular</t>
  </si>
  <si>
    <t>Resposta B)</t>
  </si>
  <si>
    <t>Desvio-padrão</t>
  </si>
  <si>
    <t>taxa</t>
  </si>
  <si>
    <t>desvio padrão</t>
  </si>
  <si>
    <t>modal</t>
  </si>
  <si>
    <t>mediana</t>
  </si>
  <si>
    <t>ação</t>
  </si>
  <si>
    <t>menor</t>
  </si>
  <si>
    <t>maior</t>
  </si>
  <si>
    <t>media</t>
  </si>
  <si>
    <t>proporção</t>
  </si>
  <si>
    <t>variancia absoluta</t>
  </si>
  <si>
    <t>Amplitude</t>
  </si>
  <si>
    <t>Moda</t>
  </si>
  <si>
    <t>Mediana</t>
  </si>
  <si>
    <t>desvio-padrão</t>
  </si>
  <si>
    <t>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</si>
</sst>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429D-5A72-49CC-8044-6C1271E5B4C6}">
  <dimension ref="A1:C5"/>
  <sheetViews>
    <sheetView workbookViewId="0">
      <selection activeCell="B10" sqref="B10"/>
    </sheetView>
  </sheetViews>
  <sheetFormatPr defaultRowHeight="15" x14ac:dyDescent="0.25"/>
  <sheetData>
    <row r="1" spans="1:3" x14ac:dyDescent="0.25">
      <c r="A1">
        <v>2250</v>
      </c>
      <c r="C1" s="2" t="s">
        <v>0</v>
      </c>
    </row>
    <row r="2" spans="1:3" x14ac:dyDescent="0.25">
      <c r="A2">
        <v>6250</v>
      </c>
      <c r="C2" s="1">
        <f>AVERAGE(A1:A5)</f>
        <v>8260</v>
      </c>
    </row>
    <row r="3" spans="1:3" x14ac:dyDescent="0.25">
      <c r="A3">
        <v>14000</v>
      </c>
    </row>
    <row r="4" spans="1:3" x14ac:dyDescent="0.25">
      <c r="A4">
        <v>14400</v>
      </c>
    </row>
    <row r="5" spans="1:3" x14ac:dyDescent="0.25">
      <c r="A5">
        <v>4400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FA55-BF24-4327-8CE9-C23F9098537C}">
  <dimension ref="A1:J3"/>
  <sheetViews>
    <sheetView workbookViewId="0">
      <selection sqref="A1:J3"/>
    </sheetView>
  </sheetViews>
  <sheetFormatPr defaultRowHeight="15" x14ac:dyDescent="0.25"/>
  <sheetData>
    <row r="1" spans="1:10" x14ac:dyDescent="0.25">
      <c r="G1" t="s">
        <v>3</v>
      </c>
      <c r="I1" t="s">
        <v>2</v>
      </c>
      <c r="J1" t="s">
        <v>1</v>
      </c>
    </row>
    <row r="2" spans="1:10" x14ac:dyDescent="0.25">
      <c r="A2">
        <v>12</v>
      </c>
      <c r="B2">
        <v>15</v>
      </c>
      <c r="C2">
        <v>12</v>
      </c>
      <c r="D2">
        <v>16</v>
      </c>
      <c r="E2">
        <v>14</v>
      </c>
      <c r="F2">
        <v>15</v>
      </c>
      <c r="G2" s="3">
        <f>STDEVA(A2:F2)</f>
        <v>1.6733200530681511</v>
      </c>
    </row>
    <row r="3" spans="1:10" x14ac:dyDescent="0.25">
      <c r="A3">
        <v>12</v>
      </c>
      <c r="B3">
        <v>11</v>
      </c>
      <c r="C3">
        <v>18</v>
      </c>
      <c r="D3">
        <v>9</v>
      </c>
      <c r="E3">
        <v>19</v>
      </c>
      <c r="F3">
        <v>15</v>
      </c>
      <c r="G3" s="3">
        <f>STDEVA(A3:F3)</f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7235-7954-4DC3-A493-77CC82094CF0}">
  <dimension ref="A1:O2"/>
  <sheetViews>
    <sheetView workbookViewId="0">
      <selection sqref="A1:O2"/>
    </sheetView>
  </sheetViews>
  <sheetFormatPr defaultRowHeight="15" x14ac:dyDescent="0.25"/>
  <sheetData>
    <row r="1" spans="1:15" x14ac:dyDescent="0.25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 t="s">
        <v>0</v>
      </c>
      <c r="M1" t="s">
        <v>7</v>
      </c>
      <c r="N1" t="s">
        <v>6</v>
      </c>
      <c r="O1" t="s">
        <v>5</v>
      </c>
    </row>
    <row r="2" spans="1:15" x14ac:dyDescent="0.25">
      <c r="A2" t="s">
        <v>4</v>
      </c>
      <c r="B2">
        <v>2.59</v>
      </c>
      <c r="C2">
        <v>2.64</v>
      </c>
      <c r="D2">
        <v>2.6</v>
      </c>
      <c r="E2">
        <v>2.62</v>
      </c>
      <c r="F2">
        <v>2.5499999999999998</v>
      </c>
      <c r="G2">
        <v>2.61</v>
      </c>
      <c r="H2">
        <v>2.5</v>
      </c>
      <c r="I2">
        <v>2.63</v>
      </c>
      <c r="J2">
        <v>2.64</v>
      </c>
      <c r="K2">
        <v>2.69</v>
      </c>
      <c r="L2" s="4">
        <f>AVERAGE(B2:K2)</f>
        <v>2.6070000000000002</v>
      </c>
      <c r="M2">
        <f>MEDIAN(B2:K2)</f>
        <v>2.6150000000000002</v>
      </c>
      <c r="N2">
        <f>MODE(B2:K2)</f>
        <v>2.64</v>
      </c>
      <c r="O2" s="4">
        <f>STDEVA(B2:K2)</f>
        <v>5.2503968104007814E-2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81BB-E3C3-4BA4-A4E6-357D09778A29}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s="5">
        <v>84</v>
      </c>
      <c r="B1" s="5">
        <v>88</v>
      </c>
      <c r="C1" s="5">
        <v>78</v>
      </c>
      <c r="D1" s="5">
        <v>80</v>
      </c>
      <c r="E1" s="5">
        <v>89</v>
      </c>
      <c r="F1" s="5">
        <v>94</v>
      </c>
      <c r="G1" s="5">
        <v>95</v>
      </c>
      <c r="H1" s="5">
        <v>77</v>
      </c>
      <c r="I1" s="5">
        <v>81</v>
      </c>
      <c r="J1" s="5">
        <v>90</v>
      </c>
    </row>
    <row r="2" spans="1:10" x14ac:dyDescent="0.25">
      <c r="A2" s="5">
        <v>83</v>
      </c>
      <c r="B2" s="5">
        <v>87</v>
      </c>
      <c r="C2" s="5">
        <v>91</v>
      </c>
      <c r="D2" s="5">
        <v>83</v>
      </c>
      <c r="E2" s="5">
        <v>92</v>
      </c>
      <c r="F2" s="5">
        <v>90</v>
      </c>
      <c r="G2" s="5">
        <v>92</v>
      </c>
      <c r="H2" s="5">
        <v>77</v>
      </c>
      <c r="I2" s="5">
        <v>86</v>
      </c>
      <c r="J2" s="5">
        <v>99</v>
      </c>
    </row>
    <row r="5" spans="1:10" x14ac:dyDescent="0.25">
      <c r="A5" s="5" t="s">
        <v>14</v>
      </c>
      <c r="B5" s="5">
        <f>B10-B11</f>
        <v>22</v>
      </c>
    </row>
    <row r="6" spans="1:10" x14ac:dyDescent="0.25">
      <c r="A6" s="5" t="s">
        <v>3</v>
      </c>
      <c r="B6" s="6">
        <f>STDEVA(A1:J2)</f>
        <v>6.2961976829796171</v>
      </c>
    </row>
    <row r="7" spans="1:10" x14ac:dyDescent="0.25">
      <c r="A7" s="5" t="s">
        <v>13</v>
      </c>
      <c r="B7" s="5">
        <f>SUM(A1:J2) /20</f>
        <v>86.8</v>
      </c>
    </row>
    <row r="8" spans="1:10" x14ac:dyDescent="0.25">
      <c r="A8" s="5" t="s">
        <v>12</v>
      </c>
      <c r="B8" s="6">
        <f>B11/20</f>
        <v>3.85</v>
      </c>
    </row>
    <row r="9" spans="1:10" x14ac:dyDescent="0.25">
      <c r="A9" s="5" t="s">
        <v>11</v>
      </c>
      <c r="B9" s="5">
        <f>AVERAGE(A1:J2)</f>
        <v>86.8</v>
      </c>
    </row>
    <row r="10" spans="1:10" x14ac:dyDescent="0.25">
      <c r="A10" s="5" t="s">
        <v>10</v>
      </c>
      <c r="B10" s="5">
        <f>MAX(A1:J2)</f>
        <v>99</v>
      </c>
    </row>
    <row r="11" spans="1:10" x14ac:dyDescent="0.25">
      <c r="A11" s="5" t="s">
        <v>9</v>
      </c>
      <c r="B11" s="5">
        <f>MIN(A1:J2)</f>
        <v>77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A7EE-56AA-4080-A3C9-477D0A906E61}">
  <dimension ref="A1:J6"/>
  <sheetViews>
    <sheetView workbookViewId="0">
      <selection activeCell="D11" sqref="D11"/>
    </sheetView>
  </sheetViews>
  <sheetFormatPr defaultRowHeight="15" x14ac:dyDescent="0.25"/>
  <cols>
    <col min="4" max="4" width="14" bestFit="1" customWidth="1"/>
  </cols>
  <sheetData>
    <row r="1" spans="1:10" x14ac:dyDescent="0.25">
      <c r="A1" s="5">
        <v>49</v>
      </c>
      <c r="B1" s="5">
        <v>70</v>
      </c>
      <c r="C1" s="5">
        <v>54</v>
      </c>
      <c r="D1" s="5">
        <v>67</v>
      </c>
      <c r="E1" s="5">
        <v>59</v>
      </c>
      <c r="F1" s="5">
        <v>40</v>
      </c>
      <c r="G1" s="5">
        <v>71</v>
      </c>
      <c r="H1" s="5">
        <v>67</v>
      </c>
      <c r="I1" s="5">
        <v>67</v>
      </c>
      <c r="J1" s="5">
        <v>52</v>
      </c>
    </row>
    <row r="5" spans="1:10" x14ac:dyDescent="0.25">
      <c r="A5" s="5" t="s">
        <v>0</v>
      </c>
      <c r="B5" s="5" t="s">
        <v>16</v>
      </c>
      <c r="C5" s="5" t="s">
        <v>15</v>
      </c>
      <c r="D5" s="5" t="s">
        <v>3</v>
      </c>
    </row>
    <row r="6" spans="1:10" x14ac:dyDescent="0.25">
      <c r="A6" s="5">
        <f>AVERAGE(A1:J1)</f>
        <v>59.6</v>
      </c>
      <c r="B6" s="5">
        <f>MEDIAN(A1:J1)</f>
        <v>63</v>
      </c>
      <c r="C6" s="5">
        <f>MODE(A1:J1)</f>
        <v>67</v>
      </c>
      <c r="D6" s="6">
        <f>STDEVA(A1:J1)</f>
        <v>10.47960983158354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0D42-F51C-4474-83ED-49F598747016}">
  <dimension ref="A1:H5"/>
  <sheetViews>
    <sheetView tabSelected="1" workbookViewId="0">
      <selection activeCell="B11" sqref="B11"/>
    </sheetView>
  </sheetViews>
  <sheetFormatPr defaultRowHeight="15" x14ac:dyDescent="0.25"/>
  <sheetData>
    <row r="1" spans="1:8" x14ac:dyDescent="0.25">
      <c r="A1">
        <v>135</v>
      </c>
      <c r="B1">
        <v>90</v>
      </c>
      <c r="C1">
        <v>85</v>
      </c>
      <c r="D1">
        <v>121</v>
      </c>
      <c r="E1">
        <v>83</v>
      </c>
      <c r="F1">
        <v>69</v>
      </c>
      <c r="G1">
        <v>159</v>
      </c>
      <c r="H1">
        <v>177</v>
      </c>
    </row>
    <row r="2" spans="1:8" x14ac:dyDescent="0.25">
      <c r="A2">
        <v>120</v>
      </c>
      <c r="B2">
        <v>133</v>
      </c>
      <c r="C2">
        <v>90</v>
      </c>
      <c r="D2">
        <v>80</v>
      </c>
      <c r="E2">
        <v>70</v>
      </c>
      <c r="F2">
        <v>93</v>
      </c>
      <c r="G2">
        <v>80</v>
      </c>
      <c r="H2">
        <v>110</v>
      </c>
    </row>
    <row r="5" spans="1:8" x14ac:dyDescent="0.25">
      <c r="A5" t="s">
        <v>11</v>
      </c>
      <c r="B5" t="s">
        <v>18</v>
      </c>
      <c r="C5" t="s">
        <v>7</v>
      </c>
      <c r="D5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ED10-1)</vt:lpstr>
      <vt:lpstr>ED10-2)</vt:lpstr>
      <vt:lpstr>ED10-3)</vt:lpstr>
      <vt:lpstr>ED10-4)</vt:lpstr>
      <vt:lpstr>ED10-5)</vt:lpstr>
      <vt:lpstr>ED10-6)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</dc:creator>
  <cp:lastModifiedBy>Victor Hugo</cp:lastModifiedBy>
  <dcterms:created xsi:type="dcterms:W3CDTF">2020-09-16T19:31:58Z</dcterms:created>
  <dcterms:modified xsi:type="dcterms:W3CDTF">2020-09-16T21:12:07Z</dcterms:modified>
</cp:coreProperties>
</file>