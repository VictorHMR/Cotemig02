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ii\OneDrive\Área de Trabalho\Trabalhos\mat2\"/>
    </mc:Choice>
  </mc:AlternateContent>
  <xr:revisionPtr revIDLastSave="0" documentId="8_{6058255B-3323-466E-ADAF-4C6106529F3F}" xr6:coauthVersionLast="45" xr6:coauthVersionMax="45" xr10:uidLastSave="{00000000-0000-0000-0000-000000000000}"/>
  <bookViews>
    <workbookView xWindow="20370" yWindow="-120" windowWidth="24240" windowHeight="13140" xr2:uid="{4D43E463-C8E0-43C8-BC8A-DF49FAEA545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C4" i="1"/>
  <c r="D4" i="1"/>
  <c r="E4" i="1"/>
  <c r="F4" i="1"/>
  <c r="G4" i="1"/>
  <c r="H4" i="1"/>
  <c r="I4" i="1"/>
  <c r="B5" i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C3" i="1"/>
  <c r="D3" i="1"/>
  <c r="E3" i="1"/>
  <c r="F3" i="1"/>
  <c r="G3" i="1"/>
  <c r="H3" i="1"/>
  <c r="I3" i="1"/>
  <c r="B3" i="1"/>
  <c r="E19" i="1" l="1"/>
  <c r="H18" i="1"/>
  <c r="D19" i="1"/>
  <c r="C19" i="1"/>
  <c r="B17" i="1"/>
  <c r="G19" i="1"/>
  <c r="F17" i="1"/>
  <c r="I17" i="1"/>
  <c r="I19" i="1"/>
  <c r="H19" i="1"/>
  <c r="B19" i="1"/>
  <c r="F19" i="1"/>
  <c r="G18" i="1"/>
  <c r="E17" i="1"/>
  <c r="C18" i="1"/>
  <c r="C17" i="1"/>
  <c r="D17" i="1"/>
  <c r="I18" i="1"/>
  <c r="G17" i="1"/>
  <c r="F18" i="1"/>
  <c r="E18" i="1"/>
  <c r="D18" i="1"/>
  <c r="H17" i="1"/>
  <c r="B18" i="1"/>
  <c r="K12" i="1"/>
  <c r="J12" i="1" s="1"/>
  <c r="K9" i="1"/>
  <c r="J9" i="1" s="1"/>
  <c r="K7" i="1"/>
  <c r="J7" i="1" s="1"/>
  <c r="K6" i="1"/>
  <c r="J6" i="1" s="1"/>
  <c r="K5" i="1"/>
  <c r="J5" i="1" s="1"/>
  <c r="K4" i="1"/>
  <c r="J4" i="1" s="1"/>
  <c r="K10" i="1"/>
  <c r="J10" i="1" s="1"/>
  <c r="K11" i="1"/>
  <c r="J11" i="1" s="1"/>
  <c r="K8" i="1"/>
  <c r="J8" i="1" s="1"/>
  <c r="K3" i="1"/>
  <c r="H13" i="1"/>
  <c r="H14" i="1" s="1"/>
  <c r="G15" i="1"/>
  <c r="G16" i="1" s="1"/>
  <c r="F15" i="1"/>
  <c r="F16" i="1" s="1"/>
  <c r="E15" i="1"/>
  <c r="E16" i="1" s="1"/>
  <c r="D15" i="1"/>
  <c r="D16" i="1" s="1"/>
  <c r="I15" i="1"/>
  <c r="I16" i="1" s="1"/>
  <c r="H15" i="1"/>
  <c r="H16" i="1" s="1"/>
  <c r="C15" i="1"/>
  <c r="C16" i="1" s="1"/>
  <c r="E13" i="1"/>
  <c r="E14" i="1" s="1"/>
  <c r="G13" i="1"/>
  <c r="G14" i="1" s="1"/>
  <c r="D13" i="1"/>
  <c r="D14" i="1" s="1"/>
  <c r="F13" i="1"/>
  <c r="F14" i="1" s="1"/>
  <c r="C13" i="1"/>
  <c r="C14" i="1" s="1"/>
  <c r="I13" i="1"/>
  <c r="I14" i="1" s="1"/>
  <c r="B15" i="1"/>
  <c r="B16" i="1" s="1"/>
  <c r="B13" i="1"/>
  <c r="B14" i="1" s="1"/>
  <c r="J3" i="1" l="1"/>
  <c r="M17" i="1" l="1"/>
  <c r="N17" i="1" s="1"/>
  <c r="M18" i="1"/>
  <c r="N18" i="1" s="1"/>
</calcChain>
</file>

<file path=xl/sharedStrings.xml><?xml version="1.0" encoding="utf-8"?>
<sst xmlns="http://schemas.openxmlformats.org/spreadsheetml/2006/main" count="33" uniqueCount="32">
  <si>
    <t>DISCIPLINA</t>
  </si>
  <si>
    <t>ALUNOS</t>
  </si>
  <si>
    <t>MAT</t>
  </si>
  <si>
    <t>PORT</t>
  </si>
  <si>
    <t>INGLES</t>
  </si>
  <si>
    <t>HISTORIA</t>
  </si>
  <si>
    <t>QUIMICA</t>
  </si>
  <si>
    <t>FISICA</t>
  </si>
  <si>
    <t>BIOLOGIA</t>
  </si>
  <si>
    <t>GEOGRAFIA</t>
  </si>
  <si>
    <t>SITUAÇÃO</t>
  </si>
  <si>
    <t>JOTARO</t>
  </si>
  <si>
    <t>JOSEPH</t>
  </si>
  <si>
    <t>JONATHAN</t>
  </si>
  <si>
    <t>DIO</t>
  </si>
  <si>
    <t>JOSUKE</t>
  </si>
  <si>
    <t>GIORNO</t>
  </si>
  <si>
    <t>TRISHA</t>
  </si>
  <si>
    <t>MOMO</t>
  </si>
  <si>
    <t>NEZUKO</t>
  </si>
  <si>
    <t>MARY</t>
  </si>
  <si>
    <t>MENOR NOTA</t>
  </si>
  <si>
    <t>MAIOR NOTA</t>
  </si>
  <si>
    <t>ALUNO DA MAIOR NOTA</t>
  </si>
  <si>
    <t>ALUNO DA MENOR NOTA</t>
  </si>
  <si>
    <t>MEDIA</t>
  </si>
  <si>
    <t>MODA</t>
  </si>
  <si>
    <t>MEDIANA</t>
  </si>
  <si>
    <t>NUMERO</t>
  </si>
  <si>
    <t>PORCENTAGEM</t>
  </si>
  <si>
    <t>APROVADOS</t>
  </si>
  <si>
    <t>REPROVADO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</si>
</sst>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vertical="center"/>
    </xf>
    <xf numFmtId="1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2" fillId="0" borderId="3" xfId="0" applyFont="1" applyBorder="1" applyAlignment="1">
      <alignment horizontal="center"/>
    </xf>
    <xf numFmtId="0" fontId="0" fillId="0" borderId="4" xfId="0" applyBorder="1"/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5" xfId="0" applyBorder="1"/>
    <xf numFmtId="1" fontId="0" fillId="0" borderId="6" xfId="0" applyNumberFormat="1" applyBorder="1"/>
    <xf numFmtId="0" fontId="3" fillId="0" borderId="7" xfId="0" applyFont="1" applyBorder="1" applyAlignment="1">
      <alignment vertical="center"/>
    </xf>
    <xf numFmtId="0" fontId="0" fillId="0" borderId="8" xfId="0" applyBorder="1"/>
    <xf numFmtId="9" fontId="0" fillId="0" borderId="1" xfId="1" applyNumberFormat="1" applyFont="1" applyBorder="1"/>
    <xf numFmtId="9" fontId="0" fillId="0" borderId="1" xfId="1" applyFont="1" applyBorder="1"/>
    <xf numFmtId="0" fontId="0" fillId="2" borderId="1" xfId="0" applyFill="1" applyBorder="1"/>
    <xf numFmtId="0" fontId="0" fillId="2" borderId="6" xfId="0" applyFill="1" applyBorder="1"/>
    <xf numFmtId="0" fontId="0" fillId="2" borderId="10" xfId="0" applyFill="1" applyBorder="1"/>
    <xf numFmtId="0" fontId="0" fillId="2" borderId="8" xfId="0" applyFill="1" applyBorder="1"/>
    <xf numFmtId="0" fontId="0" fillId="2" borderId="9" xfId="0" applyFill="1" applyBorder="1"/>
  </cellXfs>
  <cellStyles count="2">
    <cellStyle name="Normal" xfId="0" builtinId="0"/>
    <cellStyle name="Porcentagem" xfId="1" builtinId="5"/>
  </cellStyles>
  <dxfs count="301"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de</a:t>
            </a:r>
            <a:r>
              <a:rPr lang="pt-BR" baseline="0"/>
              <a:t> aprovados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Planilha1!$M$16</c:f>
              <c:strCache>
                <c:ptCount val="1"/>
                <c:pt idx="0">
                  <c:v>NUMERO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Planilha1!$L$17:$L$18</c:f>
              <c:strCache>
                <c:ptCount val="2"/>
                <c:pt idx="0">
                  <c:v>APROVADOS</c:v>
                </c:pt>
                <c:pt idx="1">
                  <c:v>REPROVADO</c:v>
                </c:pt>
              </c:strCache>
            </c:strRef>
          </c:cat>
          <c:val>
            <c:numRef>
              <c:f>Planilha1!$M$17:$M$18</c:f>
              <c:numCache>
                <c:formatCode>General</c:formatCode>
                <c:ptCount val="2"/>
                <c:pt idx="0">
                  <c:v>10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B-49C1-AE81-C3B9434E1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745344"/>
        <c:axId val="1108710080"/>
      </c:barChart>
      <c:lineChart>
        <c:grouping val="standard"/>
        <c:varyColors val="0"/>
        <c:ser>
          <c:idx val="1"/>
          <c:order val="1"/>
          <c:tx>
            <c:strRef>
              <c:f>Planilha1!$N$16</c:f>
              <c:strCache>
                <c:ptCount val="1"/>
                <c:pt idx="0">
                  <c:v>PORCENTAGEM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Planilha1!$L$17:$L$18</c:f>
              <c:strCache>
                <c:ptCount val="2"/>
                <c:pt idx="0">
                  <c:v>APROVADOS</c:v>
                </c:pt>
                <c:pt idx="1">
                  <c:v>REPROVADO</c:v>
                </c:pt>
              </c:strCache>
            </c:strRef>
          </c:cat>
          <c:val>
            <c:numRef>
              <c:f>Planilha1!$N$17:$N$18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4B-49C1-AE81-C3B9434E1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1745344"/>
        <c:axId val="1108710080"/>
      </c:lineChart>
      <c:catAx>
        <c:axId val="104174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8710080"/>
        <c:crosses val="autoZero"/>
        <c:auto val="1"/>
        <c:lblAlgn val="ctr"/>
        <c:lblOffset val="100"/>
        <c:noMultiLvlLbl val="0"/>
      </c:catAx>
      <c:valAx>
        <c:axId val="110871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174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20</xdr:row>
      <xdr:rowOff>23812</xdr:rowOff>
    </xdr:from>
    <xdr:to>
      <xdr:col>9</xdr:col>
      <xdr:colOff>209550</xdr:colOff>
      <xdr:row>34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950CF7-FB0F-4848-950C-C111163F2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8ED7-4953-45DF-A5BD-65BCCA04115C}">
  <dimension ref="A1:N19"/>
  <sheetViews>
    <sheetView tabSelected="1" topLeftCell="C7" workbookViewId="0">
      <selection activeCell="L28" sqref="L28"/>
    </sheetView>
  </sheetViews>
  <sheetFormatPr defaultRowHeight="15" x14ac:dyDescent="0.25"/>
  <cols>
    <col min="1" max="1" width="22.85546875" bestFit="1" customWidth="1"/>
    <col min="2" max="2" width="15.140625" customWidth="1"/>
    <col min="3" max="3" width="14.140625" customWidth="1"/>
    <col min="4" max="4" width="15" customWidth="1"/>
    <col min="5" max="5" width="15.85546875" customWidth="1"/>
    <col min="6" max="6" width="15" customWidth="1"/>
    <col min="7" max="7" width="17" customWidth="1"/>
    <col min="8" max="8" width="16.5703125" customWidth="1"/>
    <col min="9" max="9" width="21" customWidth="1"/>
    <col min="10" max="10" width="13.28515625" customWidth="1"/>
    <col min="12" max="12" width="14.140625" bestFit="1" customWidth="1"/>
    <col min="14" max="14" width="14.7109375" bestFit="1" customWidth="1"/>
  </cols>
  <sheetData>
    <row r="1" spans="1:14" x14ac:dyDescent="0.25">
      <c r="A1" s="5"/>
      <c r="B1" s="6" t="s">
        <v>0</v>
      </c>
      <c r="C1" s="6"/>
      <c r="D1" s="6"/>
      <c r="E1" s="6"/>
      <c r="F1" s="6"/>
      <c r="G1" s="6"/>
      <c r="H1" s="6"/>
      <c r="I1" s="6"/>
      <c r="J1" s="6"/>
      <c r="K1" s="7"/>
    </row>
    <row r="2" spans="1:14" ht="22.5" customHeight="1" x14ac:dyDescent="0.25">
      <c r="A2" s="8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9" t="s">
        <v>25</v>
      </c>
    </row>
    <row r="3" spans="1:14" x14ac:dyDescent="0.25">
      <c r="A3" s="10" t="s">
        <v>11</v>
      </c>
      <c r="B3" s="1">
        <f ca="1">RANDBETWEEN(40,100)</f>
        <v>45</v>
      </c>
      <c r="C3" s="1">
        <f t="shared" ref="C3:I13" ca="1" si="0">RANDBETWEEN(40,100)</f>
        <v>68</v>
      </c>
      <c r="D3" s="1">
        <f t="shared" ca="1" si="0"/>
        <v>96</v>
      </c>
      <c r="E3" s="1">
        <f t="shared" ca="1" si="0"/>
        <v>77</v>
      </c>
      <c r="F3" s="1">
        <f t="shared" ca="1" si="0"/>
        <v>82</v>
      </c>
      <c r="G3" s="1">
        <f t="shared" ca="1" si="0"/>
        <v>59</v>
      </c>
      <c r="H3" s="1">
        <f t="shared" ca="1" si="0"/>
        <v>65</v>
      </c>
      <c r="I3" s="1">
        <f t="shared" ca="1" si="0"/>
        <v>88</v>
      </c>
      <c r="J3" s="1" t="str">
        <f ca="1">IF(K3 &gt;=60,"APROVADO","REPROVADO")</f>
        <v>APROVADO</v>
      </c>
      <c r="K3" s="11">
        <f ca="1">SUM(B3:I3)/8</f>
        <v>72.5</v>
      </c>
    </row>
    <row r="4" spans="1:14" x14ac:dyDescent="0.25">
      <c r="A4" s="10" t="s">
        <v>12</v>
      </c>
      <c r="B4" s="1">
        <f t="shared" ref="B4:B12" ca="1" si="1">RANDBETWEEN(40,100)</f>
        <v>88</v>
      </c>
      <c r="C4" s="1">
        <f t="shared" ca="1" si="0"/>
        <v>86</v>
      </c>
      <c r="D4" s="1">
        <f t="shared" ca="1" si="0"/>
        <v>67</v>
      </c>
      <c r="E4" s="1">
        <f t="shared" ca="1" si="0"/>
        <v>81</v>
      </c>
      <c r="F4" s="1">
        <f t="shared" ca="1" si="0"/>
        <v>50</v>
      </c>
      <c r="G4" s="1">
        <f t="shared" ca="1" si="0"/>
        <v>47</v>
      </c>
      <c r="H4" s="1">
        <f t="shared" ca="1" si="0"/>
        <v>64</v>
      </c>
      <c r="I4" s="1">
        <f t="shared" ca="1" si="0"/>
        <v>88</v>
      </c>
      <c r="J4" s="1" t="str">
        <f t="shared" ref="J4:J12" ca="1" si="2">IF(K4 &gt;=60,"APROVADO","REPROVADO")</f>
        <v>APROVADO</v>
      </c>
      <c r="K4" s="11">
        <f t="shared" ref="K4:K12" ca="1" si="3">SUM(B4:I4)/8</f>
        <v>71.375</v>
      </c>
    </row>
    <row r="5" spans="1:14" x14ac:dyDescent="0.25">
      <c r="A5" s="10" t="s">
        <v>13</v>
      </c>
      <c r="B5" s="1">
        <f t="shared" ca="1" si="1"/>
        <v>59</v>
      </c>
      <c r="C5" s="1">
        <f t="shared" ca="1" si="0"/>
        <v>57</v>
      </c>
      <c r="D5" s="1">
        <f t="shared" ca="1" si="0"/>
        <v>53</v>
      </c>
      <c r="E5" s="1">
        <f t="shared" ca="1" si="0"/>
        <v>71</v>
      </c>
      <c r="F5" s="1">
        <f t="shared" ca="1" si="0"/>
        <v>47</v>
      </c>
      <c r="G5" s="1">
        <f t="shared" ca="1" si="0"/>
        <v>62</v>
      </c>
      <c r="H5" s="1">
        <f t="shared" ca="1" si="0"/>
        <v>54</v>
      </c>
      <c r="I5" s="1">
        <f t="shared" ca="1" si="0"/>
        <v>97</v>
      </c>
      <c r="J5" s="1" t="str">
        <f t="shared" ca="1" si="2"/>
        <v>APROVADO</v>
      </c>
      <c r="K5" s="11">
        <f t="shared" ca="1" si="3"/>
        <v>62.5</v>
      </c>
    </row>
    <row r="6" spans="1:14" x14ac:dyDescent="0.25">
      <c r="A6" s="10" t="s">
        <v>14</v>
      </c>
      <c r="B6" s="1">
        <f t="shared" ca="1" si="1"/>
        <v>64</v>
      </c>
      <c r="C6" s="1">
        <f t="shared" ca="1" si="0"/>
        <v>54</v>
      </c>
      <c r="D6" s="1">
        <f t="shared" ca="1" si="0"/>
        <v>51</v>
      </c>
      <c r="E6" s="1">
        <f t="shared" ca="1" si="0"/>
        <v>69</v>
      </c>
      <c r="F6" s="1">
        <f t="shared" ca="1" si="0"/>
        <v>68</v>
      </c>
      <c r="G6" s="1">
        <f t="shared" ca="1" si="0"/>
        <v>57</v>
      </c>
      <c r="H6" s="1">
        <f t="shared" ca="1" si="0"/>
        <v>61</v>
      </c>
      <c r="I6" s="1">
        <f t="shared" ca="1" si="0"/>
        <v>64</v>
      </c>
      <c r="J6" s="1" t="str">
        <f t="shared" ca="1" si="2"/>
        <v>APROVADO</v>
      </c>
      <c r="K6" s="11">
        <f t="shared" ca="1" si="3"/>
        <v>61</v>
      </c>
    </row>
    <row r="7" spans="1:14" x14ac:dyDescent="0.25">
      <c r="A7" s="10" t="s">
        <v>15</v>
      </c>
      <c r="B7" s="1">
        <f t="shared" ca="1" si="1"/>
        <v>72</v>
      </c>
      <c r="C7" s="1">
        <f t="shared" ca="1" si="0"/>
        <v>85</v>
      </c>
      <c r="D7" s="1">
        <f t="shared" ca="1" si="0"/>
        <v>49</v>
      </c>
      <c r="E7" s="1">
        <f t="shared" ca="1" si="0"/>
        <v>95</v>
      </c>
      <c r="F7" s="1">
        <f t="shared" ca="1" si="0"/>
        <v>72</v>
      </c>
      <c r="G7" s="1">
        <f t="shared" ca="1" si="0"/>
        <v>62</v>
      </c>
      <c r="H7" s="1">
        <f t="shared" ca="1" si="0"/>
        <v>80</v>
      </c>
      <c r="I7" s="1">
        <f t="shared" ca="1" si="0"/>
        <v>93</v>
      </c>
      <c r="J7" s="1" t="str">
        <f t="shared" ca="1" si="2"/>
        <v>APROVADO</v>
      </c>
      <c r="K7" s="11">
        <f t="shared" ca="1" si="3"/>
        <v>76</v>
      </c>
    </row>
    <row r="8" spans="1:14" x14ac:dyDescent="0.25">
      <c r="A8" s="10" t="s">
        <v>16</v>
      </c>
      <c r="B8" s="1">
        <f t="shared" ca="1" si="1"/>
        <v>90</v>
      </c>
      <c r="C8" s="1">
        <f t="shared" ca="1" si="0"/>
        <v>48</v>
      </c>
      <c r="D8" s="1">
        <f t="shared" ca="1" si="0"/>
        <v>97</v>
      </c>
      <c r="E8" s="1">
        <f t="shared" ca="1" si="0"/>
        <v>57</v>
      </c>
      <c r="F8" s="1">
        <f t="shared" ca="1" si="0"/>
        <v>82</v>
      </c>
      <c r="G8" s="1">
        <f t="shared" ca="1" si="0"/>
        <v>69</v>
      </c>
      <c r="H8" s="1">
        <f t="shared" ca="1" si="0"/>
        <v>86</v>
      </c>
      <c r="I8" s="1">
        <f t="shared" ca="1" si="0"/>
        <v>82</v>
      </c>
      <c r="J8" s="1" t="str">
        <f t="shared" ca="1" si="2"/>
        <v>APROVADO</v>
      </c>
      <c r="K8" s="11">
        <f t="shared" ca="1" si="3"/>
        <v>76.375</v>
      </c>
    </row>
    <row r="9" spans="1:14" x14ac:dyDescent="0.25">
      <c r="A9" s="10" t="s">
        <v>17</v>
      </c>
      <c r="B9" s="1">
        <f t="shared" ca="1" si="1"/>
        <v>64</v>
      </c>
      <c r="C9" s="1">
        <f t="shared" ca="1" si="0"/>
        <v>67</v>
      </c>
      <c r="D9" s="1">
        <f t="shared" ca="1" si="0"/>
        <v>69</v>
      </c>
      <c r="E9" s="1">
        <f t="shared" ca="1" si="0"/>
        <v>64</v>
      </c>
      <c r="F9" s="1">
        <f t="shared" ca="1" si="0"/>
        <v>54</v>
      </c>
      <c r="G9" s="1">
        <f t="shared" ca="1" si="0"/>
        <v>95</v>
      </c>
      <c r="H9" s="1">
        <f t="shared" ca="1" si="0"/>
        <v>88</v>
      </c>
      <c r="I9" s="1">
        <f t="shared" ca="1" si="0"/>
        <v>53</v>
      </c>
      <c r="J9" s="1" t="str">
        <f t="shared" ca="1" si="2"/>
        <v>APROVADO</v>
      </c>
      <c r="K9" s="11">
        <f t="shared" ca="1" si="3"/>
        <v>69.25</v>
      </c>
    </row>
    <row r="10" spans="1:14" x14ac:dyDescent="0.25">
      <c r="A10" s="10" t="s">
        <v>18</v>
      </c>
      <c r="B10" s="1">
        <f t="shared" ca="1" si="1"/>
        <v>81</v>
      </c>
      <c r="C10" s="1">
        <f t="shared" ca="1" si="0"/>
        <v>78</v>
      </c>
      <c r="D10" s="1">
        <f t="shared" ca="1" si="0"/>
        <v>76</v>
      </c>
      <c r="E10" s="1">
        <f t="shared" ca="1" si="0"/>
        <v>72</v>
      </c>
      <c r="F10" s="1">
        <f t="shared" ca="1" si="0"/>
        <v>84</v>
      </c>
      <c r="G10" s="1">
        <f t="shared" ca="1" si="0"/>
        <v>70</v>
      </c>
      <c r="H10" s="1">
        <f t="shared" ca="1" si="0"/>
        <v>57</v>
      </c>
      <c r="I10" s="1">
        <f t="shared" ca="1" si="0"/>
        <v>95</v>
      </c>
      <c r="J10" s="1" t="str">
        <f t="shared" ca="1" si="2"/>
        <v>APROVADO</v>
      </c>
      <c r="K10" s="11">
        <f t="shared" ca="1" si="3"/>
        <v>76.625</v>
      </c>
    </row>
    <row r="11" spans="1:14" x14ac:dyDescent="0.25">
      <c r="A11" s="10" t="s">
        <v>19</v>
      </c>
      <c r="B11" s="1">
        <f t="shared" ca="1" si="1"/>
        <v>66</v>
      </c>
      <c r="C11" s="1">
        <f t="shared" ca="1" si="0"/>
        <v>64</v>
      </c>
      <c r="D11" s="1">
        <f t="shared" ca="1" si="0"/>
        <v>40</v>
      </c>
      <c r="E11" s="1">
        <f t="shared" ca="1" si="0"/>
        <v>76</v>
      </c>
      <c r="F11" s="1">
        <f t="shared" ca="1" si="0"/>
        <v>66</v>
      </c>
      <c r="G11" s="1">
        <f t="shared" ca="1" si="0"/>
        <v>93</v>
      </c>
      <c r="H11" s="1">
        <f t="shared" ca="1" si="0"/>
        <v>73</v>
      </c>
      <c r="I11" s="1">
        <f t="shared" ca="1" si="0"/>
        <v>95</v>
      </c>
      <c r="J11" s="1" t="str">
        <f t="shared" ca="1" si="2"/>
        <v>APROVADO</v>
      </c>
      <c r="K11" s="11">
        <f t="shared" ca="1" si="3"/>
        <v>71.625</v>
      </c>
    </row>
    <row r="12" spans="1:14" x14ac:dyDescent="0.25">
      <c r="A12" s="10" t="s">
        <v>20</v>
      </c>
      <c r="B12" s="1">
        <f t="shared" ca="1" si="1"/>
        <v>77</v>
      </c>
      <c r="C12" s="1">
        <f t="shared" ca="1" si="0"/>
        <v>89</v>
      </c>
      <c r="D12" s="1">
        <f t="shared" ca="1" si="0"/>
        <v>44</v>
      </c>
      <c r="E12" s="1">
        <f t="shared" ca="1" si="0"/>
        <v>86</v>
      </c>
      <c r="F12" s="1">
        <f t="shared" ca="1" si="0"/>
        <v>88</v>
      </c>
      <c r="G12" s="1">
        <f t="shared" ca="1" si="0"/>
        <v>58</v>
      </c>
      <c r="H12" s="1">
        <f t="shared" ca="1" si="0"/>
        <v>87</v>
      </c>
      <c r="I12" s="1">
        <f t="shared" ca="1" si="0"/>
        <v>58</v>
      </c>
      <c r="J12" s="1" t="str">
        <f t="shared" ca="1" si="2"/>
        <v>APROVADO</v>
      </c>
      <c r="K12" s="11">
        <f t="shared" ca="1" si="3"/>
        <v>73.375</v>
      </c>
    </row>
    <row r="13" spans="1:14" x14ac:dyDescent="0.25">
      <c r="A13" s="8" t="s">
        <v>22</v>
      </c>
      <c r="B13" s="4">
        <f ca="1">MAX(B3:B12)</f>
        <v>90</v>
      </c>
      <c r="C13" s="4">
        <f t="shared" ref="C13:I13" ca="1" si="4">MAX(C3:C12)</f>
        <v>89</v>
      </c>
      <c r="D13" s="4">
        <f t="shared" ca="1" si="4"/>
        <v>97</v>
      </c>
      <c r="E13" s="4">
        <f t="shared" ca="1" si="4"/>
        <v>95</v>
      </c>
      <c r="F13" s="4">
        <f t="shared" ca="1" si="4"/>
        <v>88</v>
      </c>
      <c r="G13" s="4">
        <f t="shared" ca="1" si="4"/>
        <v>95</v>
      </c>
      <c r="H13" s="4">
        <f t="shared" ca="1" si="4"/>
        <v>88</v>
      </c>
      <c r="I13" s="4">
        <f t="shared" ca="1" si="4"/>
        <v>97</v>
      </c>
      <c r="J13" s="16"/>
      <c r="K13" s="17"/>
    </row>
    <row r="14" spans="1:14" x14ac:dyDescent="0.25">
      <c r="A14" s="8" t="s">
        <v>23</v>
      </c>
      <c r="B14" s="4" t="str">
        <f ca="1">IF(B13=B3,$A$3,IF(B13=B4,$A$4,IF(B13=B5,$A$5,IF(B13=B6,$A$6,IF(B13=B7,$A$7,IF(B13=B8,$A$8,IF(B13=B9,$A$9,IF(B13=B10,$A$10,IF(B13=B11,$A$11,IF(B13=B12,$A$12))))))))))</f>
        <v>GIORNO</v>
      </c>
      <c r="C14" s="4" t="str">
        <f t="shared" ref="C14:I14" ca="1" si="5">IF(C13=C3,$A$3,IF(C13=C4,$A$4,IF(C13=C5,$A$5,IF(C13=C6,$A$6,IF(C13=C7,$A$7,IF(C13=C8,$A$8,IF(C13=C9,$A$9,IF(C13=C10,$A$10,IF(C13=C11,$A$11,IF(C13=C12,$A$12))))))))))</f>
        <v>MARY</v>
      </c>
      <c r="D14" s="4" t="str">
        <f t="shared" ca="1" si="5"/>
        <v>GIORNO</v>
      </c>
      <c r="E14" s="4" t="str">
        <f t="shared" ca="1" si="5"/>
        <v>JOSUKE</v>
      </c>
      <c r="F14" s="4" t="str">
        <f t="shared" ca="1" si="5"/>
        <v>MARY</v>
      </c>
      <c r="G14" s="4" t="str">
        <f t="shared" ca="1" si="5"/>
        <v>TRISHA</v>
      </c>
      <c r="H14" s="4" t="str">
        <f t="shared" ca="1" si="5"/>
        <v>TRISHA</v>
      </c>
      <c r="I14" s="4" t="str">
        <f t="shared" ca="1" si="5"/>
        <v>JONATHAN</v>
      </c>
      <c r="J14" s="16"/>
      <c r="K14" s="17"/>
    </row>
    <row r="15" spans="1:14" x14ac:dyDescent="0.25">
      <c r="A15" s="8" t="s">
        <v>21</v>
      </c>
      <c r="B15" s="4">
        <f ca="1">MIN(B3:B12)</f>
        <v>45</v>
      </c>
      <c r="C15" s="4">
        <f t="shared" ref="C15:I15" ca="1" si="6">MIN(C3:C12)</f>
        <v>48</v>
      </c>
      <c r="D15" s="4">
        <f t="shared" ca="1" si="6"/>
        <v>40</v>
      </c>
      <c r="E15" s="4">
        <f t="shared" ca="1" si="6"/>
        <v>57</v>
      </c>
      <c r="F15" s="4">
        <f t="shared" ca="1" si="6"/>
        <v>47</v>
      </c>
      <c r="G15" s="4">
        <f t="shared" ca="1" si="6"/>
        <v>47</v>
      </c>
      <c r="H15" s="4">
        <f t="shared" ca="1" si="6"/>
        <v>54</v>
      </c>
      <c r="I15" s="4">
        <f t="shared" ca="1" si="6"/>
        <v>53</v>
      </c>
      <c r="J15" s="16"/>
      <c r="K15" s="17"/>
    </row>
    <row r="16" spans="1:14" x14ac:dyDescent="0.25">
      <c r="A16" s="8" t="s">
        <v>24</v>
      </c>
      <c r="B16" s="4" t="str">
        <f ca="1">IF(B15=B3,$A$3,IF(B15=B4,$A$4,IF(B15=B5,$A$5,IF(B15=B6,$A$6,IF(B15=B7,$A$7,IF(B15=B8,$A$8,IF(B15=B9,$A$9,IF(B15=B10,$A$10,IF(B15=B11,$A$11,IF(B15=B12,$A$12))))))))))</f>
        <v>JOTARO</v>
      </c>
      <c r="C16" s="4" t="str">
        <f ca="1">IF(C15=C3,$A$3,IF(C15=C4,$A$4,IF(C15=C5,$A$5,IF(C15=C6,$A$6,IF(C15=C7,$A$7,IF(C15=C8,$A$8,IF(C15=C9,$A$9,IF(C15=C10,$A$10,IF(C15=C11,$A$11,IF(C15=C12,$A$12))))))))))</f>
        <v>GIORNO</v>
      </c>
      <c r="D16" s="4" t="str">
        <f t="shared" ref="D16:I16" ca="1" si="7">IF(D15=D3,$A$3,IF(D15=D4,$A$4,IF(D15=D5,$A$5,IF(D15=D6,$A$6,IF(D15=D7,$A$7,IF(D15=D8,$A$8,IF(D15=D9,$A$9,IF(D15=D10,$A$10,IF(D15=D11,$A$11,IF(D15=D12,$A$12))))))))))</f>
        <v>NEZUKO</v>
      </c>
      <c r="E16" s="4" t="str">
        <f t="shared" ca="1" si="7"/>
        <v>GIORNO</v>
      </c>
      <c r="F16" s="4" t="str">
        <f t="shared" ca="1" si="7"/>
        <v>JONATHAN</v>
      </c>
      <c r="G16" s="4" t="str">
        <f t="shared" ca="1" si="7"/>
        <v>JOSEPH</v>
      </c>
      <c r="H16" s="4" t="str">
        <f t="shared" ca="1" si="7"/>
        <v>JONATHAN</v>
      </c>
      <c r="I16" s="4" t="str">
        <f t="shared" ca="1" si="7"/>
        <v>TRISHA</v>
      </c>
      <c r="J16" s="16"/>
      <c r="K16" s="18"/>
      <c r="L16" s="1"/>
      <c r="M16" s="1" t="s">
        <v>28</v>
      </c>
      <c r="N16" s="1" t="s">
        <v>29</v>
      </c>
    </row>
    <row r="17" spans="1:14" x14ac:dyDescent="0.25">
      <c r="A17" s="8" t="s">
        <v>25</v>
      </c>
      <c r="B17" s="3">
        <f ca="1">AVERAGE(B3:B12)</f>
        <v>70.599999999999994</v>
      </c>
      <c r="C17" s="3">
        <f t="shared" ref="C17:I17" ca="1" si="8">AVERAGE(C3:C12)</f>
        <v>69.599999999999994</v>
      </c>
      <c r="D17" s="3">
        <f t="shared" ca="1" si="8"/>
        <v>64.2</v>
      </c>
      <c r="E17" s="3">
        <f t="shared" ca="1" si="8"/>
        <v>74.8</v>
      </c>
      <c r="F17" s="3">
        <f t="shared" ca="1" si="8"/>
        <v>69.3</v>
      </c>
      <c r="G17" s="3">
        <f t="shared" ca="1" si="8"/>
        <v>67.2</v>
      </c>
      <c r="H17" s="3">
        <f t="shared" ca="1" si="8"/>
        <v>71.5</v>
      </c>
      <c r="I17" s="3">
        <f t="shared" ca="1" si="8"/>
        <v>81.3</v>
      </c>
      <c r="J17" s="16"/>
      <c r="K17" s="18"/>
      <c r="L17" s="1" t="s">
        <v>30</v>
      </c>
      <c r="M17" s="1">
        <f ca="1">COUNTIF(J3:J12, "APROVADO")</f>
        <v>10</v>
      </c>
      <c r="N17" s="14">
        <f ca="1">M17/10</f>
        <v>1</v>
      </c>
    </row>
    <row r="18" spans="1:14" x14ac:dyDescent="0.25">
      <c r="A18" s="8" t="s">
        <v>26</v>
      </c>
      <c r="B18" s="1">
        <f ca="1">MODE(B3:B12)</f>
        <v>64</v>
      </c>
      <c r="C18" s="1" t="e">
        <f t="shared" ref="C18:I18" ca="1" si="9">MODE(C3:C12)</f>
        <v>#N/A</v>
      </c>
      <c r="D18" s="1" t="e">
        <f t="shared" ca="1" si="9"/>
        <v>#N/A</v>
      </c>
      <c r="E18" s="1" t="e">
        <f t="shared" ca="1" si="9"/>
        <v>#N/A</v>
      </c>
      <c r="F18" s="1">
        <f t="shared" ca="1" si="9"/>
        <v>82</v>
      </c>
      <c r="G18" s="1">
        <f t="shared" ca="1" si="9"/>
        <v>62</v>
      </c>
      <c r="H18" s="1" t="e">
        <f t="shared" ca="1" si="9"/>
        <v>#N/A</v>
      </c>
      <c r="I18" s="1">
        <f t="shared" ca="1" si="9"/>
        <v>88</v>
      </c>
      <c r="J18" s="16"/>
      <c r="K18" s="18"/>
      <c r="L18" s="1" t="s">
        <v>31</v>
      </c>
      <c r="M18" s="1">
        <f ca="1">COUNTIF(J3:J12, "REPROVADO")</f>
        <v>0</v>
      </c>
      <c r="N18" s="15">
        <f ca="1">M18/10</f>
        <v>0</v>
      </c>
    </row>
    <row r="19" spans="1:14" ht="15.75" thickBot="1" x14ac:dyDescent="0.3">
      <c r="A19" s="12" t="s">
        <v>27</v>
      </c>
      <c r="B19" s="13">
        <f ca="1">MEDIAN(B3:B12)</f>
        <v>69</v>
      </c>
      <c r="C19" s="13">
        <f t="shared" ref="C19:I19" ca="1" si="10">MEDIAN(C3:C12)</f>
        <v>67.5</v>
      </c>
      <c r="D19" s="13">
        <f t="shared" ca="1" si="10"/>
        <v>60</v>
      </c>
      <c r="E19" s="13">
        <f t="shared" ca="1" si="10"/>
        <v>74</v>
      </c>
      <c r="F19" s="13">
        <f t="shared" ca="1" si="10"/>
        <v>70</v>
      </c>
      <c r="G19" s="13">
        <f t="shared" ca="1" si="10"/>
        <v>62</v>
      </c>
      <c r="H19" s="13">
        <f t="shared" ca="1" si="10"/>
        <v>69</v>
      </c>
      <c r="I19" s="13">
        <f t="shared" ca="1" si="10"/>
        <v>88</v>
      </c>
      <c r="J19" s="19"/>
      <c r="K19" s="20"/>
    </row>
  </sheetData>
  <mergeCells count="1">
    <mergeCell ref="B1:J1"/>
  </mergeCells>
  <conditionalFormatting sqref="A3:A12">
    <cfRule type="expression" dxfId="0" priority="26">
      <formula>IF(B13=B3,A3,IF(B13=B4,A4,IF(B13=B5,A5,IF(B13=B6,A6,IF(B13=B7,A7,IF(B13=B8,A8,IF(B13=B9,A9,IF(B13=B10,A10,IF(B13=B11,A11,IF(B12=B6,A12))))))))))</formula>
    </cfRule>
    <cfRule type="cellIs" dxfId="1" priority="1" operator="equal">
      <formula>VLOOKUP(B4, A1048570:B3,1,0)</formula>
    </cfRule>
  </conditionalFormatting>
  <conditionalFormatting sqref="B3:B12">
    <cfRule type="cellIs" dxfId="38" priority="22" operator="equal">
      <formula>$B$13</formula>
    </cfRule>
    <cfRule type="cellIs" dxfId="37" priority="21" operator="equal">
      <formula>$B$15</formula>
    </cfRule>
  </conditionalFormatting>
  <conditionalFormatting sqref="C3:C12">
    <cfRule type="cellIs" dxfId="36" priority="20" operator="equal">
      <formula>$C$13</formula>
    </cfRule>
    <cfRule type="cellIs" dxfId="35" priority="19" operator="equal">
      <formula>$C$15</formula>
    </cfRule>
  </conditionalFormatting>
  <conditionalFormatting sqref="D3:D12">
    <cfRule type="cellIs" dxfId="34" priority="17" operator="equal">
      <formula>$D$13</formula>
    </cfRule>
    <cfRule type="cellIs" dxfId="33" priority="16" operator="equal">
      <formula>$D$15</formula>
    </cfRule>
  </conditionalFormatting>
  <conditionalFormatting sqref="E3:E12">
    <cfRule type="cellIs" dxfId="32" priority="15" operator="equal">
      <formula>$E$15</formula>
    </cfRule>
    <cfRule type="cellIs" dxfId="31" priority="14" operator="equal">
      <formula>$E$13</formula>
    </cfRule>
  </conditionalFormatting>
  <conditionalFormatting sqref="F3:F12">
    <cfRule type="cellIs" dxfId="30" priority="13" operator="equal">
      <formula>$F$15</formula>
    </cfRule>
    <cfRule type="cellIs" dxfId="29" priority="12" operator="equal">
      <formula>$F$13</formula>
    </cfRule>
  </conditionalFormatting>
  <conditionalFormatting sqref="G3:G12">
    <cfRule type="cellIs" dxfId="28" priority="11" operator="equal">
      <formula>$G$15</formula>
    </cfRule>
    <cfRule type="cellIs" dxfId="27" priority="10" operator="equal">
      <formula>$G$13</formula>
    </cfRule>
  </conditionalFormatting>
  <conditionalFormatting sqref="H3:H12">
    <cfRule type="cellIs" dxfId="26" priority="9" operator="equal">
      <formula>$H$15</formula>
    </cfRule>
    <cfRule type="cellIs" dxfId="25" priority="8" operator="equal">
      <formula>$H$13</formula>
    </cfRule>
  </conditionalFormatting>
  <conditionalFormatting sqref="I3:I12">
    <cfRule type="cellIs" dxfId="24" priority="7" operator="equal">
      <formula>$I$15</formula>
    </cfRule>
    <cfRule type="cellIs" dxfId="23" priority="6" operator="equal">
      <formula>$I$13</formula>
    </cfRule>
  </conditionalFormatting>
  <conditionalFormatting sqref="J3:J12">
    <cfRule type="cellIs" dxfId="22" priority="5" operator="equal">
      <formula>"APROVADO"</formula>
    </cfRule>
    <cfRule type="cellIs" dxfId="21" priority="4" operator="equal">
      <formula>"REPROVADO"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</dc:creator>
  <cp:lastModifiedBy>Victor Hugo</cp:lastModifiedBy>
  <dcterms:created xsi:type="dcterms:W3CDTF">2020-08-17T20:09:25Z</dcterms:created>
  <dcterms:modified xsi:type="dcterms:W3CDTF">2020-08-17T21:22:47Z</dcterms:modified>
</cp:coreProperties>
</file>